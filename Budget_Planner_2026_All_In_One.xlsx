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tegory Setup" sheetId="2" state="visible" r:id="rId2"/>
    <sheet name="Monthly Tracker" sheetId="3" state="visible" r:id="rId3"/>
    <sheet name="Dashboard" sheetId="4" state="visible" r:id="rId4"/>
    <sheet name="Savings Goals" sheetId="5" state="visible" r:id="rId5"/>
    <sheet name="Debt Tracker" sheetId="6" state="visible" r:id="rId6"/>
    <sheet name="Annual Overview" sheetId="7" state="visible" r:id="rId7"/>
    <sheet name="Monthly Calenda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0.0%"/>
  </numFmts>
  <fonts count="42">
    <font>
      <name val="Calibri"/>
      <family val="2"/>
      <color theme="1"/>
      <sz val="11"/>
      <scheme val="minor"/>
    </font>
    <font>
      <name val="Calibri"/>
      <b val="1"/>
      <color rgb="00FFFFFF"/>
      <sz val="30"/>
    </font>
    <font>
      <name val="Calibri"/>
      <i val="1"/>
      <color rgb="00FFFFFF"/>
      <sz val="11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color rgb="00264653"/>
      <sz val="10"/>
    </font>
    <font>
      <name val="Calibri"/>
      <b val="1"/>
      <color rgb="00FFFFFF"/>
      <sz val="13"/>
    </font>
    <font>
      <name val="Calibri"/>
      <b val="1"/>
      <color rgb="002A9D8F"/>
      <sz val="11"/>
    </font>
    <font>
      <name val="Calibri"/>
      <color rgb="00264653"/>
      <sz val="11"/>
    </font>
    <font>
      <name val="Calibri"/>
      <i val="1"/>
      <color rgb="00AAAAAA"/>
      <sz val="9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222222"/>
      <sz val="10"/>
    </font>
    <font>
      <name val="Calibri"/>
      <color rgb="00222222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20"/>
    </font>
    <font>
      <name val="Calibri"/>
      <b val="1"/>
      <color rgb="00FFFFFF"/>
      <sz val="9"/>
    </font>
    <font>
      <name val="Calibri"/>
      <b val="1"/>
      <color rgb="002A9D8F"/>
      <sz val="17"/>
    </font>
    <font>
      <name val="Calibri"/>
      <i val="1"/>
      <color rgb="006C757D"/>
      <sz val="8"/>
    </font>
    <font>
      <name val="Calibri"/>
      <b val="1"/>
      <color rgb="00E76F51"/>
      <sz val="17"/>
    </font>
    <font>
      <name val="Calibri"/>
      <b val="1"/>
      <color rgb="004A90D9"/>
      <sz val="17"/>
    </font>
    <font>
      <name val="Calibri"/>
      <b val="1"/>
      <color rgb="00F4A261"/>
      <sz val="17"/>
    </font>
    <font>
      <name val="Calibri"/>
      <b val="1"/>
      <color rgb="00E76F51"/>
      <sz val="12"/>
    </font>
    <font>
      <name val="Calibri"/>
      <b val="1"/>
      <color rgb="00F4A261"/>
      <sz val="12"/>
    </font>
    <font>
      <name val="Calibri"/>
      <b val="1"/>
      <color rgb="002A9D8F"/>
      <sz val="12"/>
    </font>
    <font>
      <name val="Calibri"/>
      <b val="1"/>
      <color rgb="00222222"/>
      <sz val="11"/>
    </font>
    <font>
      <name val="Calibri"/>
      <color rgb="002A9D8F"/>
      <sz val="13"/>
    </font>
    <font>
      <name val="Calibri"/>
      <color rgb="004A90D9"/>
      <sz val="13"/>
    </font>
    <font>
      <name val="Calibri"/>
      <color rgb="00F4A261"/>
      <sz val="13"/>
    </font>
    <font>
      <name val="Calibri"/>
      <color rgb="002E5AAC"/>
      <sz val="13"/>
    </font>
    <font>
      <name val="Calibri"/>
      <color rgb="00E76F51"/>
      <sz val="13"/>
    </font>
    <font>
      <name val="Calibri"/>
      <color rgb="00E9C46A"/>
      <sz val="13"/>
    </font>
    <font>
      <name val="Calibri"/>
      <i val="1"/>
      <color rgb="00AAAAAA"/>
      <sz val="10"/>
    </font>
    <font>
      <name val="Calibri"/>
      <color rgb="00FFFFFF"/>
      <sz val="10"/>
    </font>
    <font>
      <name val="Calibri"/>
      <color rgb="00264653"/>
      <sz val="13"/>
    </font>
    <font>
      <name val="Calibri"/>
      <b val="1"/>
      <color rgb="00264653"/>
      <sz val="9"/>
    </font>
    <font>
      <name val="Calibri"/>
      <b val="1"/>
      <color rgb="00B71C1C"/>
      <sz val="9"/>
    </font>
    <font>
      <name val="Calibri"/>
      <b val="1"/>
      <color rgb="001B5E20"/>
      <sz val="9"/>
    </font>
  </fonts>
  <fills count="33">
    <fill>
      <patternFill/>
    </fill>
    <fill>
      <patternFill patternType="gray125"/>
    </fill>
    <fill>
      <patternFill patternType="solid">
        <fgColor rgb="002E5AAC"/>
        <bgColor rgb="002E5AAC"/>
      </patternFill>
    </fill>
    <fill>
      <patternFill patternType="solid">
        <fgColor rgb="004A90D9"/>
        <bgColor rgb="004A90D9"/>
      </patternFill>
    </fill>
    <fill>
      <patternFill patternType="solid">
        <fgColor rgb="00F8F9FA"/>
        <bgColor rgb="00F8F9FA"/>
      </patternFill>
    </fill>
    <fill>
      <patternFill patternType="solid">
        <fgColor rgb="00264653"/>
        <bgColor rgb="00264653"/>
      </patternFill>
    </fill>
    <fill>
      <patternFill patternType="solid">
        <fgColor rgb="002A9D8F"/>
        <bgColor rgb="002A9D8F"/>
      </patternFill>
    </fill>
    <fill>
      <patternFill patternType="solid">
        <fgColor rgb="00EAF2FF"/>
        <bgColor rgb="00EAF2FF"/>
      </patternFill>
    </fill>
    <fill>
      <patternFill patternType="solid">
        <fgColor rgb="00F4A261"/>
        <bgColor rgb="00F4A261"/>
      </patternFill>
    </fill>
    <fill>
      <patternFill patternType="solid">
        <fgColor rgb="00EAF7F5"/>
        <bgColor rgb="00EAF7F5"/>
      </patternFill>
    </fill>
    <fill>
      <patternFill patternType="solid">
        <fgColor rgb="00FFFFFF"/>
        <bgColor rgb="00FFFFFF"/>
      </patternFill>
    </fill>
    <fill>
      <patternFill patternType="solid">
        <fgColor rgb="00FFF8F0"/>
        <bgColor rgb="00FFF8F0"/>
      </patternFill>
    </fill>
    <fill>
      <patternFill patternType="solid">
        <fgColor rgb="00E76F51"/>
        <bgColor rgb="00E76F51"/>
      </patternFill>
    </fill>
    <fill>
      <patternFill patternType="solid">
        <fgColor rgb="00FFE8E8"/>
        <bgColor rgb="00FFE8E8"/>
      </patternFill>
    </fill>
    <fill>
      <patternFill patternType="solid">
        <fgColor rgb="00FFFEF0"/>
        <bgColor rgb="00FFFEF0"/>
      </patternFill>
    </fill>
    <fill>
      <patternFill patternType="solid">
        <fgColor rgb="00F9F9F9"/>
        <bgColor rgb="00F9F9F9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9FFF9"/>
        <bgColor rgb="00F9FFF9"/>
      </patternFill>
    </fill>
    <fill>
      <patternFill patternType="solid">
        <fgColor rgb="00C8E6C9"/>
        <bgColor rgb="00C8E6C9"/>
      </patternFill>
    </fill>
    <fill>
      <patternFill patternType="solid">
        <fgColor rgb="00FFCDD2"/>
        <bgColor rgb="00FFCDD2"/>
      </patternFill>
    </fill>
    <fill>
      <patternFill patternType="solid">
        <fgColor rgb="00229B8A"/>
        <bgColor rgb="00229B8A"/>
      </patternFill>
    </fill>
    <fill>
      <patternFill patternType="solid">
        <fgColor rgb="00F0FFF9"/>
        <bgColor rgb="00F0FFF9"/>
      </patternFill>
    </fill>
    <fill>
      <patternFill patternType="solid">
        <fgColor rgb="00FAFFFE"/>
        <bgColor rgb="00FAFFFE"/>
      </patternFill>
    </fill>
    <fill>
      <patternFill patternType="solid">
        <fgColor rgb="00E9C46A"/>
        <bgColor rgb="00E9C46A"/>
      </patternFill>
    </fill>
    <fill>
      <patternFill patternType="solid">
        <fgColor rgb="00FAFAFA"/>
        <bgColor rgb="00FAFAFA"/>
      </patternFill>
    </fill>
    <fill>
      <patternFill patternType="solid">
        <fgColor rgb="00D96040"/>
        <bgColor rgb="00D96040"/>
      </patternFill>
    </fill>
    <fill>
      <patternFill patternType="solid">
        <fgColor rgb="00FFF5F5"/>
        <bgColor rgb="00FFF5F5"/>
      </patternFill>
    </fill>
    <fill>
      <patternFill patternType="solid">
        <fgColor rgb="00F5FFF7"/>
        <bgColor rgb="00F5FFF7"/>
      </patternFill>
    </fill>
    <fill>
      <patternFill patternType="solid">
        <fgColor rgb="00FFF0F0"/>
        <bgColor rgb="00FFF0F0"/>
      </patternFill>
    </fill>
    <fill>
      <patternFill patternType="solid">
        <fgColor rgb="00FFFAFA"/>
        <bgColor rgb="00FFFAFA"/>
      </patternFill>
    </fill>
    <fill>
      <patternFill patternType="solid">
        <fgColor rgb="00E8E8E8"/>
        <bgColor rgb="00E8E8E8"/>
      </patternFill>
    </fill>
    <fill>
      <patternFill patternType="solid">
        <fgColor rgb="00FFE082"/>
        <bgColor rgb="00FFE082"/>
      </patternFill>
    </fill>
  </fills>
  <borders count="10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2A9D8F"/>
      </left>
      <right style="thin">
        <color rgb="002A9D8F"/>
      </right>
      <top style="thin">
        <color rgb="002A9D8F"/>
      </top>
      <bottom style="thin">
        <color rgb="002A9D8F"/>
      </bottom>
    </border>
    <border>
      <left style="thin">
        <color rgb="00F4A261"/>
      </left>
      <right style="thin">
        <color rgb="00F4A261"/>
      </right>
      <top style="thin">
        <color rgb="00F4A261"/>
      </top>
      <bottom style="thin">
        <color rgb="00F4A261"/>
      </bottom>
    </border>
    <border>
      <left style="thin">
        <color rgb="004A90D9"/>
      </left>
      <right style="thin">
        <color rgb="004A90D9"/>
      </right>
      <top style="thin">
        <color rgb="004A90D9"/>
      </top>
      <bottom style="thin">
        <color rgb="004A90D9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E76F51"/>
      </left>
      <right style="thin">
        <color rgb="00E76F51"/>
      </right>
      <top style="thin">
        <color rgb="00E76F51"/>
      </top>
      <bottom style="thin">
        <color rgb="00E76F5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9C46A"/>
      </left>
      <right style="thin">
        <color rgb="00E9C46A"/>
      </right>
      <top style="thin">
        <color rgb="00E9C46A"/>
      </top>
      <bottom style="thin">
        <color rgb="00E9C46A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9" borderId="5" applyAlignment="1" pivotButton="0" quotePrefix="0" xfId="0">
      <alignment horizontal="left" vertical="center"/>
    </xf>
    <xf numFmtId="0" fontId="5" fillId="9" borderId="5" applyAlignment="1" pivotButton="0" quotePrefix="0" xfId="0">
      <alignment horizontal="left" vertical="center" wrapText="1"/>
    </xf>
    <xf numFmtId="0" fontId="7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center" vertical="center"/>
    </xf>
    <xf numFmtId="0" fontId="8" fillId="11" borderId="3" applyAlignment="1" pivotButton="0" quotePrefix="0" xfId="0">
      <alignment horizontal="left" vertical="center"/>
    </xf>
    <xf numFmtId="0" fontId="8" fillId="10" borderId="3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13" borderId="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/>
    </xf>
    <xf numFmtId="164" fontId="14" fillId="14" borderId="5" applyAlignment="1" pivotButton="0" quotePrefix="0" xfId="0">
      <alignment horizontal="right" vertical="center"/>
    </xf>
    <xf numFmtId="0" fontId="13" fillId="15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left" vertical="center"/>
    </xf>
    <xf numFmtId="0" fontId="13" fillId="17" borderId="5" applyAlignment="1" pivotButton="0" quotePrefix="0" xfId="0">
      <alignment horizontal="left" vertical="center"/>
    </xf>
    <xf numFmtId="0" fontId="15" fillId="2" borderId="0" applyAlignment="1" pivotButton="0" quotePrefix="0" xfId="0">
      <alignment horizontal="right" vertical="center"/>
    </xf>
    <xf numFmtId="164" fontId="6" fillId="2" borderId="6" applyAlignment="1" pivotButton="0" quotePrefix="0" xfId="0">
      <alignment horizontal="right" vertical="center"/>
    </xf>
    <xf numFmtId="0" fontId="6" fillId="6" borderId="0" applyAlignment="1" pivotButton="0" quotePrefix="0" xfId="0">
      <alignment horizontal="center" vertical="center"/>
    </xf>
    <xf numFmtId="0" fontId="13" fillId="18" borderId="5" applyAlignment="1" pivotButton="0" quotePrefix="0" xfId="0">
      <alignment horizontal="left" vertical="center"/>
    </xf>
    <xf numFmtId="0" fontId="15" fillId="6" borderId="0" applyAlignment="1" pivotButton="0" quotePrefix="0" xfId="0">
      <alignment horizontal="right" vertical="center"/>
    </xf>
    <xf numFmtId="164" fontId="6" fillId="6" borderId="6" applyAlignment="1" pivotButton="0" quotePrefix="0" xfId="0">
      <alignment horizontal="right" vertical="center"/>
    </xf>
    <xf numFmtId="0" fontId="15" fillId="8" borderId="0" applyAlignment="1" pivotButton="0" quotePrefix="0" xfId="0">
      <alignment horizontal="right" vertical="center"/>
    </xf>
    <xf numFmtId="164" fontId="6" fillId="8" borderId="6" applyAlignment="1" pivotButton="0" quotePrefix="0" xfId="0">
      <alignment horizontal="right" vertical="center"/>
    </xf>
    <xf numFmtId="0" fontId="16" fillId="2" borderId="0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165" fontId="14" fillId="0" borderId="5" applyAlignment="1" pivotButton="0" quotePrefix="0" xfId="0">
      <alignment horizontal="center" vertical="center"/>
    </xf>
    <xf numFmtId="0" fontId="17" fillId="19" borderId="5" applyAlignment="1" pivotButton="0" quotePrefix="0" xfId="0">
      <alignment horizontal="center" vertical="center"/>
    </xf>
    <xf numFmtId="0" fontId="14" fillId="10" borderId="5" applyAlignment="1" pivotButton="0" quotePrefix="0" xfId="0">
      <alignment horizontal="left" vertical="center"/>
    </xf>
    <xf numFmtId="164" fontId="14" fillId="0" borderId="5" applyAlignment="1" pivotButton="0" quotePrefix="0" xfId="0">
      <alignment horizontal="right" vertical="center"/>
    </xf>
    <xf numFmtId="0" fontId="14" fillId="0" borderId="5" applyAlignment="1" pivotButton="0" quotePrefix="0" xfId="0">
      <alignment horizontal="center" vertical="center"/>
    </xf>
    <xf numFmtId="0" fontId="18" fillId="20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left" vertical="center"/>
    </xf>
    <xf numFmtId="0" fontId="15" fillId="12" borderId="0" applyAlignment="1" pivotButton="0" quotePrefix="0" xfId="0">
      <alignment horizontal="right" vertical="center"/>
    </xf>
    <xf numFmtId="164" fontId="6" fillId="12" borderId="6" applyAlignment="1" pivotButton="0" quotePrefix="0" xfId="0">
      <alignment horizontal="right" vertical="center"/>
    </xf>
    <xf numFmtId="164" fontId="10" fillId="2" borderId="6" applyAlignment="1" pivotButton="0" quotePrefix="0" xfId="0">
      <alignment horizontal="right" vertical="center"/>
    </xf>
    <xf numFmtId="0" fontId="19" fillId="2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164" fontId="21" fillId="10" borderId="2" applyAlignment="1" pivotButton="0" quotePrefix="0" xfId="0">
      <alignment horizontal="center" vertical="center"/>
    </xf>
    <xf numFmtId="164" fontId="23" fillId="10" borderId="7" applyAlignment="1" pivotButton="0" quotePrefix="0" xfId="0">
      <alignment horizontal="center" vertical="center"/>
    </xf>
    <xf numFmtId="164" fontId="24" fillId="10" borderId="4" applyAlignment="1" pivotButton="0" quotePrefix="0" xfId="0">
      <alignment horizontal="center" vertical="center"/>
    </xf>
    <xf numFmtId="166" fontId="25" fillId="10" borderId="3" applyAlignment="1" pivotButton="0" quotePrefix="0" xfId="0">
      <alignment horizontal="center" vertical="center"/>
    </xf>
    <xf numFmtId="0" fontId="22" fillId="4" borderId="5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4" borderId="5" applyAlignment="1" pivotButton="0" quotePrefix="0" xfId="0">
      <alignment horizontal="left" vertical="center"/>
    </xf>
    <xf numFmtId="164" fontId="14" fillId="4" borderId="5" applyAlignment="1" pivotButton="0" quotePrefix="0" xfId="0">
      <alignment horizontal="right" vertical="center"/>
    </xf>
    <xf numFmtId="0" fontId="14" fillId="4" borderId="5" applyAlignment="1" pivotButton="0" quotePrefix="0" xfId="0">
      <alignment horizontal="center" vertical="center"/>
    </xf>
    <xf numFmtId="0" fontId="13" fillId="10" borderId="5" applyAlignment="1" pivotButton="0" quotePrefix="0" xfId="0">
      <alignment horizontal="left" vertical="center"/>
    </xf>
    <xf numFmtId="164" fontId="14" fillId="10" borderId="5" applyAlignment="1" pivotButton="0" quotePrefix="0" xfId="0">
      <alignment horizontal="right" vertical="center"/>
    </xf>
    <xf numFmtId="0" fontId="14" fillId="10" borderId="5" applyAlignment="1" pivotButton="0" quotePrefix="0" xfId="0">
      <alignment horizontal="center" vertical="center"/>
    </xf>
    <xf numFmtId="0" fontId="12" fillId="2" borderId="1" applyAlignment="1" pivotButton="0" quotePrefix="0" xfId="0">
      <alignment horizontal="right" vertical="center"/>
    </xf>
    <xf numFmtId="164" fontId="15" fillId="2" borderId="1" applyAlignment="1" pivotButton="0" quotePrefix="0" xfId="0">
      <alignment horizontal="right" vertical="center"/>
    </xf>
    <xf numFmtId="0" fontId="12" fillId="8" borderId="1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15" fillId="8" borderId="5" applyAlignment="1" pivotButton="0" quotePrefix="0" xfId="0">
      <alignment horizontal="center" vertical="center"/>
    </xf>
    <xf numFmtId="9" fontId="27" fillId="10" borderId="5" applyAlignment="1" pivotButton="0" quotePrefix="0" xfId="0">
      <alignment horizontal="center" vertical="center"/>
    </xf>
    <xf numFmtId="0" fontId="15" fillId="6" borderId="5" applyAlignment="1" pivotButton="0" quotePrefix="0" xfId="0">
      <alignment horizontal="center" vertical="center"/>
    </xf>
    <xf numFmtId="9" fontId="28" fillId="4" borderId="5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1" fillId="21" borderId="0" applyAlignment="1" pivotButton="0" quotePrefix="0" xfId="0">
      <alignment horizontal="center" vertical="center"/>
    </xf>
    <xf numFmtId="0" fontId="15" fillId="6" borderId="5" applyAlignment="1" pivotButton="0" quotePrefix="0" xfId="0">
      <alignment horizontal="left" vertical="center"/>
    </xf>
    <xf numFmtId="164" fontId="14" fillId="22" borderId="5" applyAlignment="1" pivotButton="0" quotePrefix="0" xfId="0">
      <alignment horizontal="right" vertical="center"/>
    </xf>
    <xf numFmtId="166" fontId="29" fillId="22" borderId="5" applyAlignment="1" pivotButton="0" quotePrefix="0" xfId="0">
      <alignment horizontal="center" vertical="center"/>
    </xf>
    <xf numFmtId="0" fontId="30" fillId="22" borderId="5" applyAlignment="1" pivotButton="0" quotePrefix="0" xfId="0">
      <alignment horizontal="left" vertical="center"/>
    </xf>
    <xf numFmtId="0" fontId="15" fillId="3" borderId="5" applyAlignment="1" pivotButton="0" quotePrefix="0" xfId="0">
      <alignment horizontal="left" vertical="center"/>
    </xf>
    <xf numFmtId="164" fontId="14" fillId="23" borderId="5" applyAlignment="1" pivotButton="0" quotePrefix="0" xfId="0">
      <alignment horizontal="right" vertical="center"/>
    </xf>
    <xf numFmtId="166" fontId="29" fillId="23" borderId="5" applyAlignment="1" pivotButton="0" quotePrefix="0" xfId="0">
      <alignment horizontal="center" vertical="center"/>
    </xf>
    <xf numFmtId="0" fontId="31" fillId="23" borderId="5" applyAlignment="1" pivotButton="0" quotePrefix="0" xfId="0">
      <alignment horizontal="left" vertical="center"/>
    </xf>
    <xf numFmtId="0" fontId="15" fillId="8" borderId="5" applyAlignment="1" pivotButton="0" quotePrefix="0" xfId="0">
      <alignment horizontal="left" vertical="center"/>
    </xf>
    <xf numFmtId="0" fontId="32" fillId="22" borderId="5" applyAlignment="1" pivotButton="0" quotePrefix="0" xfId="0">
      <alignment horizontal="left" vertical="center"/>
    </xf>
    <xf numFmtId="0" fontId="15" fillId="2" borderId="5" applyAlignment="1" pivotButton="0" quotePrefix="0" xfId="0">
      <alignment horizontal="left" vertical="center"/>
    </xf>
    <xf numFmtId="0" fontId="33" fillId="23" borderId="5" applyAlignment="1" pivotButton="0" quotePrefix="0" xfId="0">
      <alignment horizontal="left" vertical="center"/>
    </xf>
    <xf numFmtId="0" fontId="15" fillId="12" borderId="5" applyAlignment="1" pivotButton="0" quotePrefix="0" xfId="0">
      <alignment horizontal="left" vertical="center"/>
    </xf>
    <xf numFmtId="0" fontId="34" fillId="22" borderId="5" applyAlignment="1" pivotButton="0" quotePrefix="0" xfId="0">
      <alignment horizontal="left" vertical="center"/>
    </xf>
    <xf numFmtId="0" fontId="15" fillId="24" borderId="5" applyAlignment="1" pivotButton="0" quotePrefix="0" xfId="0">
      <alignment horizontal="left" vertical="center"/>
    </xf>
    <xf numFmtId="0" fontId="35" fillId="23" borderId="5" applyAlignment="1" pivotButton="0" quotePrefix="0" xfId="0">
      <alignment horizontal="left" vertical="center"/>
    </xf>
    <xf numFmtId="0" fontId="36" fillId="14" borderId="5" applyAlignment="1" pivotButton="0" quotePrefix="0" xfId="0">
      <alignment horizontal="left" vertical="center"/>
    </xf>
    <xf numFmtId="164" fontId="14" fillId="25" borderId="5" applyAlignment="1" pivotButton="0" quotePrefix="0" xfId="0">
      <alignment horizontal="right" vertical="center"/>
    </xf>
    <xf numFmtId="166" fontId="14" fillId="25" borderId="5" applyAlignment="1" pivotButton="0" quotePrefix="0" xfId="0">
      <alignment horizontal="center" vertical="center"/>
    </xf>
    <xf numFmtId="0" fontId="30" fillId="25" borderId="5" applyAlignment="1" pivotButton="0" quotePrefix="0" xfId="0">
      <alignment horizontal="left" vertical="center"/>
    </xf>
    <xf numFmtId="0" fontId="1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10" fillId="12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10" fontId="14" fillId="14" borderId="5" applyAlignment="1" pivotButton="0" quotePrefix="0" xfId="0">
      <alignment horizontal="right" vertical="center"/>
    </xf>
    <xf numFmtId="0" fontId="14" fillId="27" borderId="5" applyAlignment="1" pivotButton="0" quotePrefix="0" xfId="0">
      <alignment horizontal="center" vertical="center"/>
    </xf>
    <xf numFmtId="166" fontId="13" fillId="27" borderId="5" applyAlignment="1" pivotButton="0" quotePrefix="0" xfId="0">
      <alignment horizontal="center" vertical="center"/>
    </xf>
    <xf numFmtId="166" fontId="13" fillId="10" borderId="5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164" fontId="4" fillId="12" borderId="1" applyAlignment="1" pivotButton="0" quotePrefix="0" xfId="0">
      <alignment horizontal="right" vertical="center"/>
    </xf>
    <xf numFmtId="0" fontId="0" fillId="12" borderId="0" pivotButton="0" quotePrefix="0" xfId="0"/>
    <xf numFmtId="0" fontId="5" fillId="16" borderId="3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/>
    </xf>
    <xf numFmtId="164" fontId="13" fillId="19" borderId="5" applyAlignment="1" pivotButton="0" quotePrefix="0" xfId="0">
      <alignment horizontal="right" vertical="center"/>
    </xf>
    <xf numFmtId="164" fontId="14" fillId="19" borderId="5" applyAlignment="1" pivotButton="0" quotePrefix="0" xfId="0">
      <alignment horizontal="right" vertical="center"/>
    </xf>
    <xf numFmtId="0" fontId="13" fillId="28" borderId="5" applyAlignment="1" pivotButton="0" quotePrefix="0" xfId="0">
      <alignment horizontal="left" vertical="center"/>
    </xf>
    <xf numFmtId="164" fontId="15" fillId="6" borderId="1" applyAlignment="1" pivotButton="0" quotePrefix="0" xfId="0">
      <alignment horizontal="right" vertical="center"/>
    </xf>
    <xf numFmtId="0" fontId="4" fillId="12" borderId="0" applyAlignment="1" pivotButton="0" quotePrefix="0" xfId="0">
      <alignment horizontal="center" vertical="center"/>
    </xf>
    <xf numFmtId="0" fontId="13" fillId="29" borderId="5" applyAlignment="1" pivotButton="0" quotePrefix="0" xfId="0">
      <alignment horizontal="left" vertical="center"/>
    </xf>
    <xf numFmtId="164" fontId="13" fillId="20" borderId="5" applyAlignment="1" pivotButton="0" quotePrefix="0" xfId="0">
      <alignment horizontal="right" vertical="center"/>
    </xf>
    <xf numFmtId="164" fontId="14" fillId="20" borderId="5" applyAlignment="1" pivotButton="0" quotePrefix="0" xfId="0">
      <alignment horizontal="right" vertical="center"/>
    </xf>
    <xf numFmtId="0" fontId="13" fillId="30" borderId="5" applyAlignment="1" pivotButton="0" quotePrefix="0" xfId="0">
      <alignment horizontal="left" vertical="center"/>
    </xf>
    <xf numFmtId="0" fontId="15" fillId="12" borderId="1" applyAlignment="1" pivotButton="0" quotePrefix="0" xfId="0">
      <alignment horizontal="right" vertical="center"/>
    </xf>
    <xf numFmtId="164" fontId="15" fillId="12" borderId="1" applyAlignment="1" pivotButton="0" quotePrefix="0" xfId="0">
      <alignment horizontal="right" vertical="center"/>
    </xf>
    <xf numFmtId="0" fontId="15" fillId="2" borderId="1" applyAlignment="1" pivotButton="0" quotePrefix="0" xfId="0">
      <alignment horizontal="right" vertical="center"/>
    </xf>
    <xf numFmtId="0" fontId="37" fillId="5" borderId="0" applyAlignment="1" pivotButton="0" quotePrefix="0" xfId="0">
      <alignment horizontal="center" vertical="center"/>
    </xf>
    <xf numFmtId="0" fontId="0" fillId="31" borderId="8" pivotButton="0" quotePrefix="0" xfId="0"/>
    <xf numFmtId="0" fontId="38" fillId="4" borderId="5" applyAlignment="1" pivotButton="0" quotePrefix="0" xfId="0">
      <alignment horizontal="right" vertical="top"/>
    </xf>
    <xf numFmtId="0" fontId="39" fillId="32" borderId="9" applyAlignment="1" pivotButton="0" quotePrefix="0" xfId="0">
      <alignment horizontal="center" vertical="center" wrapText="1"/>
    </xf>
    <xf numFmtId="0" fontId="40" fillId="20" borderId="7" applyAlignment="1" pivotButton="0" quotePrefix="0" xfId="0">
      <alignment horizontal="center" vertical="center" wrapText="1"/>
    </xf>
    <xf numFmtId="0" fontId="41" fillId="19" borderId="2" applyAlignment="1" pivotButton="0" quotePrefix="0" xfId="0">
      <alignment horizontal="center" vertical="center" wrapText="1"/>
    </xf>
    <xf numFmtId="0" fontId="13" fillId="4" borderId="5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5AAC"/>
    <outlinePr summaryBelow="1" summaryRight="1"/>
    <pageSetUpPr fitToPage="1"/>
  </sheetPr>
  <dimension ref="A1:F2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8" customWidth="1" min="3" max="3"/>
    <col width="28" customWidth="1" min="4" max="4"/>
    <col width="20" customWidth="1" min="5" max="5"/>
    <col width="4" customWidth="1" min="6" max="6"/>
  </cols>
  <sheetData>
    <row r="1" ht="55" customHeight="1">
      <c r="A1" s="1" t="inlineStr">
        <is>
          <t>2026 All-In-One Budget Planner</t>
        </is>
      </c>
    </row>
    <row r="2" ht="22" customHeight="1"/>
    <row r="3" ht="22" customHeight="1"/>
    <row r="4" ht="22" customHeight="1"/>
    <row r="5" ht="26" customHeight="1">
      <c r="A5" s="2" t="inlineStr">
        <is>
          <t>Your Complete Financial Management System  •  Automated Calculations  •  No Excel Skills Required</t>
        </is>
      </c>
    </row>
    <row r="6" ht="14" customHeight="1">
      <c r="A6" s="3" t="n"/>
    </row>
    <row r="7" ht="32" customHeight="1">
      <c r="A7" s="4" t="inlineStr">
        <is>
          <t>HOW IT WORKS — 3 SIMPLE STEPS</t>
        </is>
      </c>
    </row>
    <row r="8" ht="28" customHeight="1">
      <c r="B8" s="5" t="inlineStr">
        <is>
          <t>STEP 1</t>
        </is>
      </c>
      <c r="C8" s="6" t="inlineStr">
        <is>
          <t>STEP 2</t>
        </is>
      </c>
      <c r="D8" s="7" t="inlineStr">
        <is>
          <t>STEP 3</t>
        </is>
      </c>
    </row>
    <row r="9" ht="24" customHeight="1">
      <c r="B9" s="8" t="inlineStr">
        <is>
          <t>SETUP</t>
        </is>
      </c>
      <c r="C9" s="9" t="inlineStr">
        <is>
          <t>TRACK</t>
        </is>
      </c>
      <c r="D9" s="10" t="inlineStr">
        <is>
          <t>REVIEW</t>
        </is>
      </c>
    </row>
    <row r="10" ht="55" customHeight="1">
      <c r="B10" s="11" t="inlineStr">
        <is>
          <t>Go to 'Category Setup' tab
Enter your monthly budget
targets for each category</t>
        </is>
      </c>
      <c r="C10" s="12" t="inlineStr">
        <is>
          <t>Go to 'Monthly Tracker' tab
Enter every income and expense
as it happens</t>
        </is>
      </c>
      <c r="D10" s="13" t="inlineStr">
        <is>
          <t>Check 'Dashboard' tab
See spending vs budget,
50/30/20 analysis &amp; progress</t>
        </is>
      </c>
    </row>
    <row r="11" ht="12" customHeight="1">
      <c r="A11" s="3" t="n"/>
    </row>
    <row r="12" ht="30" customHeight="1">
      <c r="A12" s="14" t="inlineStr">
        <is>
          <t>INCLUDED FEATURES</t>
        </is>
      </c>
    </row>
    <row r="13" ht="26" customHeight="1">
      <c r="A13" s="15" t="inlineStr">
        <is>
          <t>✔  Auto-Calculations</t>
        </is>
      </c>
      <c r="C13" s="16" t="inlineStr">
        <is>
          <t>All totals, balances &amp; percentages calculate automatically — no formulas to enter</t>
        </is>
      </c>
    </row>
    <row r="14" ht="26" customHeight="1">
      <c r="A14" s="17" t="inlineStr">
        <is>
          <t>✔  Color Coding</t>
        </is>
      </c>
      <c r="C14" s="18" t="inlineStr">
        <is>
          <t>Income highlighted green, expenses red — see your finances at a glance</t>
        </is>
      </c>
    </row>
    <row r="15" ht="26" customHeight="1">
      <c r="A15" s="15" t="inlineStr">
        <is>
          <t>✔  50/30/20 Analysis</t>
        </is>
      </c>
      <c r="C15" s="16" t="inlineStr">
        <is>
          <t>Built-in budget method analysis with real-time status indicators</t>
        </is>
      </c>
    </row>
    <row r="16" ht="26" customHeight="1">
      <c r="A16" s="17" t="inlineStr">
        <is>
          <t>✔  Progress Bars</t>
        </is>
      </c>
      <c r="C16" s="18" t="inlineStr">
        <is>
          <t>Visual savings goal tracker using block bars with percentage completion</t>
        </is>
      </c>
    </row>
    <row r="17" ht="26" customHeight="1">
      <c r="A17" s="15" t="inlineStr">
        <is>
          <t>✔  Annual Overview</t>
        </is>
      </c>
      <c r="C17" s="16" t="inlineStr">
        <is>
          <t>12-month income &amp; expense tracker with yearly totals and monthly averages</t>
        </is>
      </c>
    </row>
    <row r="18" ht="26" customHeight="1">
      <c r="A18" s="17" t="inlineStr">
        <is>
          <t>✔  Debt Tracker</t>
        </is>
      </c>
      <c r="C18" s="18" t="inlineStr">
        <is>
          <t>Track multiple debts, interest rates &amp; payoff timelines in one place</t>
        </is>
      </c>
    </row>
    <row r="19" ht="26" customHeight="1">
      <c r="A19" s="15" t="inlineStr">
        <is>
          <t>✔  Savings Goals</t>
        </is>
      </c>
      <c r="C19" s="16" t="inlineStr">
        <is>
          <t>Set &amp; track up to 14 custom savings goals with animated progress bars</t>
        </is>
      </c>
    </row>
    <row r="20" ht="26" customHeight="1">
      <c r="A20" s="17" t="inlineStr">
        <is>
          <t>✔  Bill Calendar</t>
        </is>
      </c>
      <c r="C20" s="18" t="inlineStr">
        <is>
          <t>Visual January calendar with bill due dates and income payday highlights</t>
        </is>
      </c>
    </row>
    <row r="21" ht="10" customHeight="1"/>
    <row r="22" ht="30" customHeight="1">
      <c r="A22" s="19" t="inlineStr">
        <is>
          <t>PRO TIPS FOR BEST RESULTS</t>
        </is>
      </c>
    </row>
    <row r="23" ht="28" customHeight="1">
      <c r="A23" s="20" t="inlineStr">
        <is>
          <t>📅  Update Weekly — Spend 5-10 minutes each Sunday entering the week's transactions to stay accurate</t>
        </is>
      </c>
    </row>
    <row r="24" ht="28" customHeight="1">
      <c r="A24" s="21" t="inlineStr">
        <is>
          <t>🏷️  Use Categories Consistently — Always pick the same category for the same type of purchase</t>
        </is>
      </c>
    </row>
    <row r="25" ht="28" customHeight="1">
      <c r="A25" s="20" t="inlineStr">
        <is>
          <t>📊  Review Monthly — Open the Dashboard on the 1st of each month to plan the month ahead</t>
        </is>
      </c>
    </row>
    <row r="26" ht="28" customHeight="1">
      <c r="A26" s="21" t="inlineStr">
        <is>
          <t>🎯  Set Realistic Goals — Start with achievable targets, then increase them as habits improve</t>
        </is>
      </c>
    </row>
    <row r="27" ht="10" customHeight="1"/>
    <row r="28" ht="24" customHeight="1">
      <c r="A28" s="22" t="inlineStr">
        <is>
          <t>Compatible with Google Sheets &amp; Excel  |  Digital Download  |  Personal Use Only  |  © 2026 Budget Planner</t>
        </is>
      </c>
    </row>
  </sheetData>
  <mergeCells count="28">
    <mergeCell ref="C17:F17"/>
    <mergeCell ref="A15:B15"/>
    <mergeCell ref="A12:F12"/>
    <mergeCell ref="A26:F26"/>
    <mergeCell ref="C19:F19"/>
    <mergeCell ref="C13:F13"/>
    <mergeCell ref="C18:F18"/>
    <mergeCell ref="A16:B16"/>
    <mergeCell ref="A5:F5"/>
    <mergeCell ref="A23:F23"/>
    <mergeCell ref="A22:F22"/>
    <mergeCell ref="C15:F15"/>
    <mergeCell ref="A18:B18"/>
    <mergeCell ref="C14:F14"/>
    <mergeCell ref="A1:F4"/>
    <mergeCell ref="A28:F28"/>
    <mergeCell ref="C20:F20"/>
    <mergeCell ref="C16:F16"/>
    <mergeCell ref="A14:B14"/>
    <mergeCell ref="A17:B17"/>
    <mergeCell ref="A24:F24"/>
    <mergeCell ref="A11:F11"/>
    <mergeCell ref="A20:B20"/>
    <mergeCell ref="A19:B19"/>
    <mergeCell ref="A6:F6"/>
    <mergeCell ref="A13:B13"/>
    <mergeCell ref="A7:F7"/>
    <mergeCell ref="A25:F2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A90D9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0" customWidth="1" min="4" max="4"/>
    <col width="4" customWidth="1" min="5" max="5"/>
  </cols>
  <sheetData>
    <row r="1" ht="40" customHeight="1">
      <c r="A1" s="23" t="inlineStr">
        <is>
          <t>CATEGORY SETUP — Define Your Monthly Budget Targets</t>
        </is>
      </c>
    </row>
    <row r="2" ht="22" customHeight="1">
      <c r="A2" s="24" t="inlineStr">
        <is>
          <t>Customize the budget targets below. Yellow cells accept your input. Changes reflect automatically across all sheets.</t>
        </is>
      </c>
    </row>
    <row r="3" ht="12" customHeight="1"/>
    <row r="4" ht="30" customHeight="1">
      <c r="A4" s="25" t="inlineStr">
        <is>
          <t>EXPENSE CATEGORIES</t>
        </is>
      </c>
    </row>
    <row r="5" ht="26" customHeight="1">
      <c r="B5" s="26" t="inlineStr">
        <is>
          <t>Category Name</t>
        </is>
      </c>
      <c r="C5" s="26" t="inlineStr">
        <is>
          <t>Budget Type (Need / Want / Savings)</t>
        </is>
      </c>
      <c r="D5" s="26" t="inlineStr">
        <is>
          <t>Monthly Target ($)</t>
        </is>
      </c>
    </row>
    <row r="6" ht="22" customHeight="1">
      <c r="B6" s="27" t="inlineStr">
        <is>
          <t>Housing</t>
        </is>
      </c>
      <c r="C6" s="28" t="inlineStr">
        <is>
          <t>Need</t>
        </is>
      </c>
      <c r="D6" s="29" t="n">
        <v>1500</v>
      </c>
    </row>
    <row r="7" ht="22" customHeight="1">
      <c r="B7" s="30" t="inlineStr">
        <is>
          <t>Utilities</t>
        </is>
      </c>
      <c r="C7" s="28" t="inlineStr">
        <is>
          <t>Need</t>
        </is>
      </c>
      <c r="D7" s="29" t="n">
        <v>150</v>
      </c>
    </row>
    <row r="8" ht="22" customHeight="1">
      <c r="B8" s="27" t="inlineStr">
        <is>
          <t>Groceries</t>
        </is>
      </c>
      <c r="C8" s="28" t="inlineStr">
        <is>
          <t>Need</t>
        </is>
      </c>
      <c r="D8" s="29" t="n">
        <v>400</v>
      </c>
    </row>
    <row r="9" ht="22" customHeight="1">
      <c r="B9" s="30" t="inlineStr">
        <is>
          <t>Transportation</t>
        </is>
      </c>
      <c r="C9" s="28" t="inlineStr">
        <is>
          <t>Need</t>
        </is>
      </c>
      <c r="D9" s="29" t="n">
        <v>300</v>
      </c>
    </row>
    <row r="10" ht="22" customHeight="1">
      <c r="B10" s="27" t="inlineStr">
        <is>
          <t>Insurance</t>
        </is>
      </c>
      <c r="C10" s="28" t="inlineStr">
        <is>
          <t>Need</t>
        </is>
      </c>
      <c r="D10" s="29" t="n">
        <v>200</v>
      </c>
    </row>
    <row r="11" ht="22" customHeight="1">
      <c r="B11" s="30" t="inlineStr">
        <is>
          <t>Healthcare</t>
        </is>
      </c>
      <c r="C11" s="28" t="inlineStr">
        <is>
          <t>Need</t>
        </is>
      </c>
      <c r="D11" s="29" t="n">
        <v>100</v>
      </c>
    </row>
    <row r="12" ht="22" customHeight="1">
      <c r="B12" s="31" t="inlineStr">
        <is>
          <t>Dining Out</t>
        </is>
      </c>
      <c r="C12" s="28" t="inlineStr">
        <is>
          <t>Want</t>
        </is>
      </c>
      <c r="D12" s="29" t="n">
        <v>200</v>
      </c>
    </row>
    <row r="13" ht="22" customHeight="1">
      <c r="B13" s="30" t="inlineStr">
        <is>
          <t>Entertainment</t>
        </is>
      </c>
      <c r="C13" s="28" t="inlineStr">
        <is>
          <t>Want</t>
        </is>
      </c>
      <c r="D13" s="29" t="n">
        <v>100</v>
      </c>
    </row>
    <row r="14" ht="22" customHeight="1">
      <c r="B14" s="31" t="inlineStr">
        <is>
          <t>Shopping</t>
        </is>
      </c>
      <c r="C14" s="28" t="inlineStr">
        <is>
          <t>Want</t>
        </is>
      </c>
      <c r="D14" s="29" t="n">
        <v>150</v>
      </c>
    </row>
    <row r="15" ht="22" customHeight="1">
      <c r="B15" s="30" t="inlineStr">
        <is>
          <t>Travel</t>
        </is>
      </c>
      <c r="C15" s="28" t="inlineStr">
        <is>
          <t>Want</t>
        </is>
      </c>
      <c r="D15" s="29" t="n">
        <v>200</v>
      </c>
    </row>
    <row r="16" ht="22" customHeight="1">
      <c r="B16" s="31" t="inlineStr">
        <is>
          <t>Hobbies</t>
        </is>
      </c>
      <c r="C16" s="28" t="inlineStr">
        <is>
          <t>Want</t>
        </is>
      </c>
      <c r="D16" s="29" t="n">
        <v>75</v>
      </c>
    </row>
    <row r="17" ht="22" customHeight="1">
      <c r="B17" s="30" t="inlineStr">
        <is>
          <t>Subscriptions</t>
        </is>
      </c>
      <c r="C17" s="28" t="inlineStr">
        <is>
          <t>Want</t>
        </is>
      </c>
      <c r="D17" s="29" t="n">
        <v>50</v>
      </c>
    </row>
    <row r="18" ht="22" customHeight="1">
      <c r="B18" s="32" t="inlineStr">
        <is>
          <t>Emergency Fund</t>
        </is>
      </c>
      <c r="C18" s="28" t="inlineStr">
        <is>
          <t>Savings</t>
        </is>
      </c>
      <c r="D18" s="29" t="n">
        <v>300</v>
      </c>
    </row>
    <row r="19" ht="22" customHeight="1">
      <c r="B19" s="30" t="inlineStr">
        <is>
          <t>Retirement</t>
        </is>
      </c>
      <c r="C19" s="28" t="inlineStr">
        <is>
          <t>Savings</t>
        </is>
      </c>
      <c r="D19" s="29" t="n">
        <v>400</v>
      </c>
    </row>
    <row r="20" ht="22" customHeight="1">
      <c r="B20" s="32" t="inlineStr">
        <is>
          <t>Investments</t>
        </is>
      </c>
      <c r="C20" s="28" t="inlineStr">
        <is>
          <t>Savings</t>
        </is>
      </c>
      <c r="D20" s="29" t="n">
        <v>200</v>
      </c>
    </row>
    <row r="21" ht="22" customHeight="1">
      <c r="B21" s="30" t="inlineStr">
        <is>
          <t>Debt Payment</t>
        </is>
      </c>
      <c r="C21" s="28" t="inlineStr">
        <is>
          <t>Need</t>
        </is>
      </c>
      <c r="D21" s="29" t="n">
        <v>350</v>
      </c>
    </row>
    <row r="22" ht="22" customHeight="1">
      <c r="B22" s="31" t="inlineStr">
        <is>
          <t>Education</t>
        </is>
      </c>
      <c r="C22" s="28" t="inlineStr">
        <is>
          <t>Want</t>
        </is>
      </c>
      <c r="D22" s="29" t="n">
        <v>100</v>
      </c>
    </row>
    <row r="23" ht="22" customHeight="1">
      <c r="B23" s="30" t="inlineStr">
        <is>
          <t>Gifts/Donations</t>
        </is>
      </c>
      <c r="C23" s="28" t="inlineStr">
        <is>
          <t>Want</t>
        </is>
      </c>
      <c r="D23" s="29" t="n">
        <v>75</v>
      </c>
    </row>
    <row r="24" ht="30" customHeight="1">
      <c r="A24" s="33" t="inlineStr">
        <is>
          <t>TOTAL MONTHLY BUDGET TARGET</t>
        </is>
      </c>
      <c r="D24" s="34">
        <f>SUM(D6:D23)</f>
        <v/>
      </c>
    </row>
    <row r="25" ht="14" customHeight="1"/>
    <row r="26" ht="30" customHeight="1">
      <c r="A26" s="35" t="inlineStr">
        <is>
          <t>INCOME CATEGORIES</t>
        </is>
      </c>
    </row>
    <row r="27" ht="26" customHeight="1">
      <c r="B27" s="26" t="inlineStr">
        <is>
          <t>Income Source</t>
        </is>
      </c>
      <c r="C27" s="26" t="inlineStr">
        <is>
          <t>Type</t>
        </is>
      </c>
      <c r="D27" s="26" t="inlineStr">
        <is>
          <t>Monthly Expected ($)</t>
        </is>
      </c>
    </row>
    <row r="28" ht="22" customHeight="1">
      <c r="B28" s="32" t="inlineStr">
        <is>
          <t>Salary</t>
        </is>
      </c>
      <c r="C28" s="28" t="inlineStr">
        <is>
          <t>Primary</t>
        </is>
      </c>
      <c r="D28" s="29" t="n">
        <v>5000</v>
      </c>
    </row>
    <row r="29" ht="22" customHeight="1">
      <c r="B29" s="36" t="inlineStr">
        <is>
          <t>Side Hustle</t>
        </is>
      </c>
      <c r="C29" s="28" t="inlineStr">
        <is>
          <t>Secondary</t>
        </is>
      </c>
      <c r="D29" s="29" t="n">
        <v>500</v>
      </c>
    </row>
    <row r="30" ht="22" customHeight="1">
      <c r="B30" s="32" t="inlineStr">
        <is>
          <t>Investments</t>
        </is>
      </c>
      <c r="C30" s="28" t="inlineStr">
        <is>
          <t>Passive</t>
        </is>
      </c>
      <c r="D30" s="29" t="n">
        <v>200</v>
      </c>
    </row>
    <row r="31" ht="22" customHeight="1">
      <c r="B31" s="36" t="inlineStr">
        <is>
          <t>Freelance</t>
        </is>
      </c>
      <c r="C31" s="28" t="inlineStr">
        <is>
          <t>Secondary</t>
        </is>
      </c>
      <c r="D31" s="29" t="n">
        <v>300</v>
      </c>
    </row>
    <row r="32" ht="22" customHeight="1">
      <c r="B32" s="32" t="inlineStr">
        <is>
          <t>Other</t>
        </is>
      </c>
      <c r="C32" s="28" t="inlineStr">
        <is>
          <t>Other</t>
        </is>
      </c>
      <c r="D32" s="29" t="n"/>
    </row>
    <row r="33" ht="30" customHeight="1">
      <c r="A33" s="37" t="inlineStr">
        <is>
          <t>TOTAL EXPECTED MONTHLY INCOME</t>
        </is>
      </c>
      <c r="D33" s="38">
        <f>SUM(D28:D32)</f>
        <v/>
      </c>
    </row>
    <row r="34" ht="30" customHeight="1">
      <c r="A34" s="39" t="inlineStr">
        <is>
          <t>PROJECTED MONTHLY SURPLUS</t>
        </is>
      </c>
      <c r="D34" s="40">
        <f>D33-D24</f>
        <v/>
      </c>
    </row>
  </sheetData>
  <mergeCells count="7">
    <mergeCell ref="A4:E4"/>
    <mergeCell ref="A33:C33"/>
    <mergeCell ref="A26:E26"/>
    <mergeCell ref="A2:E2"/>
    <mergeCell ref="A1:E1"/>
    <mergeCell ref="A34:C34"/>
    <mergeCell ref="A24:C2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H2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9" customWidth="1" min="3" max="3"/>
    <col width="32" customWidth="1" min="4" max="4"/>
    <col width="14" customWidth="1" min="5" max="5"/>
    <col width="16" customWidth="1" min="6" max="6"/>
    <col width="12" customWidth="1" min="7" max="7"/>
    <col width="22" customWidth="1" min="8" max="8"/>
  </cols>
  <sheetData>
    <row r="1" ht="42" customHeight="1">
      <c r="A1" s="41" t="inlineStr">
        <is>
          <t>MONTHLY TRANSACTION TRACKER — 2026</t>
        </is>
      </c>
    </row>
    <row r="2" ht="22" customHeight="1">
      <c r="A2" s="24" t="inlineStr">
        <is>
          <t>Enter each income or expense below. Totals at the bottom calculate automatically.</t>
        </is>
      </c>
    </row>
    <row r="3" ht="10" customHeight="1"/>
    <row r="4" ht="30" customHeight="1">
      <c r="A4" s="42" t="inlineStr">
        <is>
          <t>Date</t>
        </is>
      </c>
      <c r="B4" s="42" t="inlineStr">
        <is>
          <t>Type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Amount ($)</t>
        </is>
      </c>
      <c r="F4" s="42" t="inlineStr">
        <is>
          <t>Payment Method</t>
        </is>
      </c>
      <c r="G4" s="42" t="inlineStr">
        <is>
          <t>Month</t>
        </is>
      </c>
      <c r="H4" s="42" t="inlineStr">
        <is>
          <t>Notes</t>
        </is>
      </c>
    </row>
    <row r="5" ht="22" customHeight="1">
      <c r="A5" s="43" t="inlineStr">
        <is>
          <t>2026-01-05</t>
        </is>
      </c>
      <c r="B5" s="44" t="inlineStr">
        <is>
          <t>Income</t>
        </is>
      </c>
      <c r="C5" s="45" t="inlineStr">
        <is>
          <t>Salary</t>
        </is>
      </c>
      <c r="D5" s="45" t="inlineStr">
        <is>
          <t>Monthly salary deposit</t>
        </is>
      </c>
      <c r="E5" s="46" t="n">
        <v>5000</v>
      </c>
      <c r="F5" s="45" t="inlineStr">
        <is>
          <t>Direct Deposit</t>
        </is>
      </c>
      <c r="G5" s="47" t="inlineStr">
        <is>
          <t>January</t>
        </is>
      </c>
      <c r="H5" s="45" t="inlineStr"/>
    </row>
    <row r="6" ht="22" customHeight="1">
      <c r="A6" s="43" t="inlineStr">
        <is>
          <t>2026-01-05</t>
        </is>
      </c>
      <c r="B6" s="48" t="inlineStr">
        <is>
          <t>Expense</t>
        </is>
      </c>
      <c r="C6" s="45" t="inlineStr">
        <is>
          <t>Housing</t>
        </is>
      </c>
      <c r="D6" s="45" t="inlineStr">
        <is>
          <t>January rent payment</t>
        </is>
      </c>
      <c r="E6" s="46" t="n">
        <v>1500</v>
      </c>
      <c r="F6" s="45" t="inlineStr">
        <is>
          <t>Bank Transfer</t>
        </is>
      </c>
      <c r="G6" s="47" t="inlineStr">
        <is>
          <t>January</t>
        </is>
      </c>
      <c r="H6" s="45" t="inlineStr">
        <is>
          <t>Rent due 5th</t>
        </is>
      </c>
    </row>
    <row r="7" ht="22" customHeight="1">
      <c r="A7" s="43" t="inlineStr">
        <is>
          <t>2026-01-07</t>
        </is>
      </c>
      <c r="B7" s="48" t="inlineStr">
        <is>
          <t>Expense</t>
        </is>
      </c>
      <c r="C7" s="45" t="inlineStr">
        <is>
          <t>Groceries</t>
        </is>
      </c>
      <c r="D7" s="45" t="inlineStr">
        <is>
          <t>Weekly grocery run – Whole Foods</t>
        </is>
      </c>
      <c r="E7" s="46" t="n">
        <v>127.43</v>
      </c>
      <c r="F7" s="45" t="inlineStr">
        <is>
          <t>Credit Card</t>
        </is>
      </c>
      <c r="G7" s="47" t="inlineStr">
        <is>
          <t>January</t>
        </is>
      </c>
      <c r="H7" s="45" t="inlineStr"/>
    </row>
    <row r="8" ht="22" customHeight="1">
      <c r="A8" s="43" t="inlineStr">
        <is>
          <t>2026-01-08</t>
        </is>
      </c>
      <c r="B8" s="48" t="inlineStr">
        <is>
          <t>Expense</t>
        </is>
      </c>
      <c r="C8" s="45" t="inlineStr">
        <is>
          <t>Utilities</t>
        </is>
      </c>
      <c r="D8" s="45" t="inlineStr">
        <is>
          <t>Electric bill – ConEd</t>
        </is>
      </c>
      <c r="E8" s="46" t="n">
        <v>94.2</v>
      </c>
      <c r="F8" s="45" t="inlineStr">
        <is>
          <t>Auto-Pay</t>
        </is>
      </c>
      <c r="G8" s="47" t="inlineStr">
        <is>
          <t>January</t>
        </is>
      </c>
      <c r="H8" s="45" t="inlineStr"/>
    </row>
    <row r="9" ht="22" customHeight="1">
      <c r="A9" s="43" t="inlineStr">
        <is>
          <t>2026-01-10</t>
        </is>
      </c>
      <c r="B9" s="48" t="inlineStr">
        <is>
          <t>Expense</t>
        </is>
      </c>
      <c r="C9" s="45" t="inlineStr">
        <is>
          <t>Transportation</t>
        </is>
      </c>
      <c r="D9" s="45" t="inlineStr">
        <is>
          <t>Monthly metro card</t>
        </is>
      </c>
      <c r="E9" s="46" t="n">
        <v>132</v>
      </c>
      <c r="F9" s="45" t="inlineStr">
        <is>
          <t>Debit Card</t>
        </is>
      </c>
      <c r="G9" s="47" t="inlineStr">
        <is>
          <t>January</t>
        </is>
      </c>
      <c r="H9" s="45" t="inlineStr"/>
    </row>
    <row r="10" ht="22" customHeight="1">
      <c r="A10" s="43" t="inlineStr">
        <is>
          <t>2026-01-12</t>
        </is>
      </c>
      <c r="B10" s="48" t="inlineStr">
        <is>
          <t>Expense</t>
        </is>
      </c>
      <c r="C10" s="45" t="inlineStr">
        <is>
          <t>Dining Out</t>
        </is>
      </c>
      <c r="D10" s="45" t="inlineStr">
        <is>
          <t>Dinner with friends – Olive Garden</t>
        </is>
      </c>
      <c r="E10" s="46" t="n">
        <v>67.5</v>
      </c>
      <c r="F10" s="45" t="inlineStr">
        <is>
          <t>Credit Card</t>
        </is>
      </c>
      <c r="G10" s="47" t="inlineStr">
        <is>
          <t>January</t>
        </is>
      </c>
      <c r="H10" s="45" t="inlineStr"/>
    </row>
    <row r="11" ht="22" customHeight="1">
      <c r="A11" s="43" t="inlineStr">
        <is>
          <t>2026-01-14</t>
        </is>
      </c>
      <c r="B11" s="48" t="inlineStr">
        <is>
          <t>Expense</t>
        </is>
      </c>
      <c r="C11" s="45" t="inlineStr">
        <is>
          <t>Subscriptions</t>
        </is>
      </c>
      <c r="D11" s="45" t="inlineStr">
        <is>
          <t>Netflix monthly subscription</t>
        </is>
      </c>
      <c r="E11" s="46" t="n">
        <v>15.99</v>
      </c>
      <c r="F11" s="45" t="inlineStr">
        <is>
          <t>Credit Card</t>
        </is>
      </c>
      <c r="G11" s="47" t="inlineStr">
        <is>
          <t>January</t>
        </is>
      </c>
      <c r="H11" s="45" t="inlineStr">
        <is>
          <t>Auto-renew</t>
        </is>
      </c>
    </row>
    <row r="12" ht="22" customHeight="1">
      <c r="A12" s="43" t="inlineStr">
        <is>
          <t>2026-01-15</t>
        </is>
      </c>
      <c r="B12" s="44" t="inlineStr">
        <is>
          <t>Income</t>
        </is>
      </c>
      <c r="C12" s="45" t="inlineStr">
        <is>
          <t>Freelance</t>
        </is>
      </c>
      <c r="D12" s="45" t="inlineStr">
        <is>
          <t>Website project – Client A</t>
        </is>
      </c>
      <c r="E12" s="46" t="n">
        <v>750</v>
      </c>
      <c r="F12" s="45" t="inlineStr">
        <is>
          <t>PayPal</t>
        </is>
      </c>
      <c r="G12" s="47" t="inlineStr">
        <is>
          <t>January</t>
        </is>
      </c>
      <c r="H12" s="45" t="inlineStr"/>
    </row>
    <row r="13" ht="22" customHeight="1">
      <c r="A13" s="43" t="inlineStr">
        <is>
          <t>2026-01-16</t>
        </is>
      </c>
      <c r="B13" s="48" t="inlineStr">
        <is>
          <t>Expense</t>
        </is>
      </c>
      <c r="C13" s="45" t="inlineStr">
        <is>
          <t>Entertainment</t>
        </is>
      </c>
      <c r="D13" s="45" t="inlineStr">
        <is>
          <t>Movie tickets – 2 adults</t>
        </is>
      </c>
      <c r="E13" s="46" t="n">
        <v>32</v>
      </c>
      <c r="F13" s="45" t="inlineStr">
        <is>
          <t>Debit Card</t>
        </is>
      </c>
      <c r="G13" s="47" t="inlineStr">
        <is>
          <t>January</t>
        </is>
      </c>
      <c r="H13" s="45" t="inlineStr"/>
    </row>
    <row r="14" ht="22" customHeight="1">
      <c r="A14" s="43" t="inlineStr">
        <is>
          <t>2026-01-18</t>
        </is>
      </c>
      <c r="B14" s="48" t="inlineStr">
        <is>
          <t>Expense</t>
        </is>
      </c>
      <c r="C14" s="45" t="inlineStr">
        <is>
          <t>Groceries</t>
        </is>
      </c>
      <c r="D14" s="45" t="inlineStr">
        <is>
          <t>Trader Joe's weekly shop</t>
        </is>
      </c>
      <c r="E14" s="46" t="n">
        <v>89.75</v>
      </c>
      <c r="F14" s="45" t="inlineStr">
        <is>
          <t>Debit Card</t>
        </is>
      </c>
      <c r="G14" s="47" t="inlineStr">
        <is>
          <t>January</t>
        </is>
      </c>
      <c r="H14" s="45" t="inlineStr"/>
    </row>
    <row r="15" ht="22" customHeight="1">
      <c r="A15" s="43" t="inlineStr">
        <is>
          <t>2026-01-20</t>
        </is>
      </c>
      <c r="B15" s="48" t="inlineStr">
        <is>
          <t>Expense</t>
        </is>
      </c>
      <c r="C15" s="45" t="inlineStr">
        <is>
          <t>Emergency Fund</t>
        </is>
      </c>
      <c r="D15" s="45" t="inlineStr">
        <is>
          <t>Monthly savings auto-transfer</t>
        </is>
      </c>
      <c r="E15" s="46" t="n">
        <v>300</v>
      </c>
      <c r="F15" s="45" t="inlineStr">
        <is>
          <t>Bank Transfer</t>
        </is>
      </c>
      <c r="G15" s="47" t="inlineStr">
        <is>
          <t>January</t>
        </is>
      </c>
      <c r="H15" s="45" t="inlineStr">
        <is>
          <t>Auto-transfer</t>
        </is>
      </c>
    </row>
    <row r="16" ht="22" customHeight="1">
      <c r="A16" s="43" t="inlineStr">
        <is>
          <t>2026-01-22</t>
        </is>
      </c>
      <c r="B16" s="48" t="inlineStr">
        <is>
          <t>Expense</t>
        </is>
      </c>
      <c r="C16" s="45" t="inlineStr">
        <is>
          <t>Shopping</t>
        </is>
      </c>
      <c r="D16" s="45" t="inlineStr">
        <is>
          <t>New work shoes – Amazon</t>
        </is>
      </c>
      <c r="E16" s="46" t="n">
        <v>79.98999999999999</v>
      </c>
      <c r="F16" s="45" t="inlineStr">
        <is>
          <t>Credit Card</t>
        </is>
      </c>
      <c r="G16" s="47" t="inlineStr">
        <is>
          <t>January</t>
        </is>
      </c>
      <c r="H16" s="45" t="inlineStr"/>
    </row>
    <row r="17" ht="22" customHeight="1">
      <c r="A17" s="43" t="inlineStr">
        <is>
          <t>2026-01-25</t>
        </is>
      </c>
      <c r="B17" s="48" t="inlineStr">
        <is>
          <t>Expense</t>
        </is>
      </c>
      <c r="C17" s="45" t="inlineStr">
        <is>
          <t>Healthcare</t>
        </is>
      </c>
      <c r="D17" s="45" t="inlineStr">
        <is>
          <t>Copay – annual checkup</t>
        </is>
      </c>
      <c r="E17" s="46" t="n">
        <v>35</v>
      </c>
      <c r="F17" s="45" t="inlineStr">
        <is>
          <t>HSA Card</t>
        </is>
      </c>
      <c r="G17" s="47" t="inlineStr">
        <is>
          <t>January</t>
        </is>
      </c>
      <c r="H17" s="45" t="inlineStr"/>
    </row>
    <row r="18" ht="22" customHeight="1">
      <c r="A18" s="43" t="inlineStr">
        <is>
          <t>2026-01-28</t>
        </is>
      </c>
      <c r="B18" s="48" t="inlineStr">
        <is>
          <t>Expense</t>
        </is>
      </c>
      <c r="C18" s="45" t="inlineStr">
        <is>
          <t>Debt Payment</t>
        </is>
      </c>
      <c r="D18" s="45" t="inlineStr">
        <is>
          <t>Student loan payment</t>
        </is>
      </c>
      <c r="E18" s="46" t="n">
        <v>250</v>
      </c>
      <c r="F18" s="45" t="inlineStr">
        <is>
          <t>Auto-Pay</t>
        </is>
      </c>
      <c r="G18" s="47" t="inlineStr">
        <is>
          <t>January</t>
        </is>
      </c>
      <c r="H18" s="45" t="inlineStr"/>
    </row>
    <row r="19" ht="22" customHeight="1">
      <c r="A19" s="43" t="inlineStr">
        <is>
          <t>2026-01-30</t>
        </is>
      </c>
      <c r="B19" s="44" t="inlineStr">
        <is>
          <t>Income</t>
        </is>
      </c>
      <c r="C19" s="45" t="inlineStr">
        <is>
          <t>Side Hustle</t>
        </is>
      </c>
      <c r="D19" s="45" t="inlineStr">
        <is>
          <t>Etsy shop sales – January</t>
        </is>
      </c>
      <c r="E19" s="46" t="n">
        <v>320</v>
      </c>
      <c r="F19" s="45" t="inlineStr">
        <is>
          <t>Etsy Direct</t>
        </is>
      </c>
      <c r="G19" s="47" t="inlineStr">
        <is>
          <t>January</t>
        </is>
      </c>
      <c r="H19" s="45" t="inlineStr"/>
    </row>
    <row r="20" ht="20" customHeight="1">
      <c r="A20" s="28" t="n"/>
      <c r="B20" s="45" t="n"/>
      <c r="C20" s="49" t="n"/>
      <c r="D20" s="49" t="n"/>
      <c r="E20" s="29" t="n"/>
      <c r="F20" s="49" t="n"/>
      <c r="G20" s="28" t="n"/>
      <c r="H20" s="49" t="n"/>
    </row>
    <row r="21" ht="20" customHeight="1">
      <c r="A21" s="28" t="n"/>
      <c r="B21" s="45" t="n"/>
      <c r="C21" s="49" t="n"/>
      <c r="D21" s="49" t="n"/>
      <c r="E21" s="29" t="n"/>
      <c r="F21" s="49" t="n"/>
      <c r="G21" s="28" t="n"/>
      <c r="H21" s="49" t="n"/>
    </row>
    <row r="22" ht="20" customHeight="1">
      <c r="A22" s="28" t="n"/>
      <c r="B22" s="45" t="n"/>
      <c r="C22" s="49" t="n"/>
      <c r="D22" s="49" t="n"/>
      <c r="E22" s="29" t="n"/>
      <c r="F22" s="49" t="n"/>
      <c r="G22" s="28" t="n"/>
      <c r="H22" s="49" t="n"/>
    </row>
    <row r="23" ht="20" customHeight="1">
      <c r="A23" s="28" t="n"/>
      <c r="B23" s="45" t="n"/>
      <c r="C23" s="49" t="n"/>
      <c r="D23" s="49" t="n"/>
      <c r="E23" s="29" t="n"/>
      <c r="F23" s="49" t="n"/>
      <c r="G23" s="28" t="n"/>
      <c r="H23" s="49" t="n"/>
    </row>
    <row r="24" ht="20" customHeight="1">
      <c r="A24" s="28" t="n"/>
      <c r="B24" s="45" t="n"/>
      <c r="C24" s="49" t="n"/>
      <c r="D24" s="49" t="n"/>
      <c r="E24" s="29" t="n"/>
      <c r="F24" s="49" t="n"/>
      <c r="G24" s="28" t="n"/>
      <c r="H24" s="49" t="n"/>
    </row>
    <row r="25" ht="20" customHeight="1">
      <c r="A25" s="28" t="n"/>
      <c r="B25" s="45" t="n"/>
      <c r="C25" s="49" t="n"/>
      <c r="D25" s="49" t="n"/>
      <c r="E25" s="29" t="n"/>
      <c r="F25" s="49" t="n"/>
      <c r="G25" s="28" t="n"/>
      <c r="H25" s="49" t="n"/>
    </row>
    <row r="26" ht="20" customHeight="1">
      <c r="A26" s="28" t="n"/>
      <c r="B26" s="45" t="n"/>
      <c r="C26" s="49" t="n"/>
      <c r="D26" s="49" t="n"/>
      <c r="E26" s="29" t="n"/>
      <c r="F26" s="49" t="n"/>
      <c r="G26" s="28" t="n"/>
      <c r="H26" s="49" t="n"/>
    </row>
    <row r="27" ht="20" customHeight="1">
      <c r="A27" s="28" t="n"/>
      <c r="B27" s="45" t="n"/>
      <c r="C27" s="49" t="n"/>
      <c r="D27" s="49" t="n"/>
      <c r="E27" s="29" t="n"/>
      <c r="F27" s="49" t="n"/>
      <c r="G27" s="28" t="n"/>
      <c r="H27" s="49" t="n"/>
    </row>
    <row r="28" ht="20" customHeight="1">
      <c r="A28" s="28" t="n"/>
      <c r="B28" s="45" t="n"/>
      <c r="C28" s="49" t="n"/>
      <c r="D28" s="49" t="n"/>
      <c r="E28" s="29" t="n"/>
      <c r="F28" s="49" t="n"/>
      <c r="G28" s="28" t="n"/>
      <c r="H28" s="49" t="n"/>
    </row>
    <row r="29" ht="20" customHeight="1">
      <c r="A29" s="28" t="n"/>
      <c r="B29" s="45" t="n"/>
      <c r="C29" s="49" t="n"/>
      <c r="D29" s="49" t="n"/>
      <c r="E29" s="29" t="n"/>
      <c r="F29" s="49" t="n"/>
      <c r="G29" s="28" t="n"/>
      <c r="H29" s="49" t="n"/>
    </row>
    <row r="30" ht="20" customHeight="1">
      <c r="A30" s="28" t="n"/>
      <c r="B30" s="45" t="n"/>
      <c r="C30" s="49" t="n"/>
      <c r="D30" s="49" t="n"/>
      <c r="E30" s="29" t="n"/>
      <c r="F30" s="49" t="n"/>
      <c r="G30" s="28" t="n"/>
      <c r="H30" s="49" t="n"/>
    </row>
    <row r="31" ht="20" customHeight="1">
      <c r="A31" s="28" t="n"/>
      <c r="B31" s="45" t="n"/>
      <c r="C31" s="49" t="n"/>
      <c r="D31" s="49" t="n"/>
      <c r="E31" s="29" t="n"/>
      <c r="F31" s="49" t="n"/>
      <c r="G31" s="28" t="n"/>
      <c r="H31" s="49" t="n"/>
    </row>
    <row r="32" ht="20" customHeight="1">
      <c r="A32" s="28" t="n"/>
      <c r="B32" s="45" t="n"/>
      <c r="C32" s="49" t="n"/>
      <c r="D32" s="49" t="n"/>
      <c r="E32" s="29" t="n"/>
      <c r="F32" s="49" t="n"/>
      <c r="G32" s="28" t="n"/>
      <c r="H32" s="49" t="n"/>
    </row>
    <row r="33" ht="20" customHeight="1">
      <c r="A33" s="28" t="n"/>
      <c r="B33" s="45" t="n"/>
      <c r="C33" s="49" t="n"/>
      <c r="D33" s="49" t="n"/>
      <c r="E33" s="29" t="n"/>
      <c r="F33" s="49" t="n"/>
      <c r="G33" s="28" t="n"/>
      <c r="H33" s="49" t="n"/>
    </row>
    <row r="34" ht="20" customHeight="1">
      <c r="A34" s="28" t="n"/>
      <c r="B34" s="45" t="n"/>
      <c r="C34" s="49" t="n"/>
      <c r="D34" s="49" t="n"/>
      <c r="E34" s="29" t="n"/>
      <c r="F34" s="49" t="n"/>
      <c r="G34" s="28" t="n"/>
      <c r="H34" s="49" t="n"/>
    </row>
    <row r="35" ht="20" customHeight="1">
      <c r="A35" s="28" t="n"/>
      <c r="B35" s="45" t="n"/>
      <c r="C35" s="49" t="n"/>
      <c r="D35" s="49" t="n"/>
      <c r="E35" s="29" t="n"/>
      <c r="F35" s="49" t="n"/>
      <c r="G35" s="28" t="n"/>
      <c r="H35" s="49" t="n"/>
    </row>
    <row r="36" ht="20" customHeight="1">
      <c r="A36" s="28" t="n"/>
      <c r="B36" s="45" t="n"/>
      <c r="C36" s="49" t="n"/>
      <c r="D36" s="49" t="n"/>
      <c r="E36" s="29" t="n"/>
      <c r="F36" s="49" t="n"/>
      <c r="G36" s="28" t="n"/>
      <c r="H36" s="49" t="n"/>
    </row>
    <row r="37" ht="20" customHeight="1">
      <c r="A37" s="28" t="n"/>
      <c r="B37" s="45" t="n"/>
      <c r="C37" s="49" t="n"/>
      <c r="D37" s="49" t="n"/>
      <c r="E37" s="29" t="n"/>
      <c r="F37" s="49" t="n"/>
      <c r="G37" s="28" t="n"/>
      <c r="H37" s="49" t="n"/>
    </row>
    <row r="38" ht="20" customHeight="1">
      <c r="A38" s="28" t="n"/>
      <c r="B38" s="45" t="n"/>
      <c r="C38" s="49" t="n"/>
      <c r="D38" s="49" t="n"/>
      <c r="E38" s="29" t="n"/>
      <c r="F38" s="49" t="n"/>
      <c r="G38" s="28" t="n"/>
      <c r="H38" s="49" t="n"/>
    </row>
    <row r="39" ht="20" customHeight="1">
      <c r="A39" s="28" t="n"/>
      <c r="B39" s="45" t="n"/>
      <c r="C39" s="49" t="n"/>
      <c r="D39" s="49" t="n"/>
      <c r="E39" s="29" t="n"/>
      <c r="F39" s="49" t="n"/>
      <c r="G39" s="28" t="n"/>
      <c r="H39" s="49" t="n"/>
    </row>
    <row r="40" ht="20" customHeight="1">
      <c r="A40" s="28" t="n"/>
      <c r="B40" s="45" t="n"/>
      <c r="C40" s="49" t="n"/>
      <c r="D40" s="49" t="n"/>
      <c r="E40" s="29" t="n"/>
      <c r="F40" s="49" t="n"/>
      <c r="G40" s="28" t="n"/>
      <c r="H40" s="49" t="n"/>
    </row>
    <row r="41" ht="20" customHeight="1">
      <c r="A41" s="28" t="n"/>
      <c r="B41" s="45" t="n"/>
      <c r="C41" s="49" t="n"/>
      <c r="D41" s="49" t="n"/>
      <c r="E41" s="29" t="n"/>
      <c r="F41" s="49" t="n"/>
      <c r="G41" s="28" t="n"/>
      <c r="H41" s="49" t="n"/>
    </row>
    <row r="42" ht="20" customHeight="1">
      <c r="A42" s="28" t="n"/>
      <c r="B42" s="45" t="n"/>
      <c r="C42" s="49" t="n"/>
      <c r="D42" s="49" t="n"/>
      <c r="E42" s="29" t="n"/>
      <c r="F42" s="49" t="n"/>
      <c r="G42" s="28" t="n"/>
      <c r="H42" s="49" t="n"/>
    </row>
    <row r="43" ht="20" customHeight="1">
      <c r="A43" s="28" t="n"/>
      <c r="B43" s="45" t="n"/>
      <c r="C43" s="49" t="n"/>
      <c r="D43" s="49" t="n"/>
      <c r="E43" s="29" t="n"/>
      <c r="F43" s="49" t="n"/>
      <c r="G43" s="28" t="n"/>
      <c r="H43" s="49" t="n"/>
    </row>
    <row r="44" ht="20" customHeight="1">
      <c r="A44" s="28" t="n"/>
      <c r="B44" s="45" t="n"/>
      <c r="C44" s="49" t="n"/>
      <c r="D44" s="49" t="n"/>
      <c r="E44" s="29" t="n"/>
      <c r="F44" s="49" t="n"/>
      <c r="G44" s="28" t="n"/>
      <c r="H44" s="49" t="n"/>
    </row>
    <row r="45" ht="20" customHeight="1">
      <c r="A45" s="28" t="n"/>
      <c r="B45" s="45" t="n"/>
      <c r="C45" s="49" t="n"/>
      <c r="D45" s="49" t="n"/>
      <c r="E45" s="29" t="n"/>
      <c r="F45" s="49" t="n"/>
      <c r="G45" s="28" t="n"/>
      <c r="H45" s="49" t="n"/>
    </row>
    <row r="46" ht="20" customHeight="1">
      <c r="A46" s="28" t="n"/>
      <c r="B46" s="45" t="n"/>
      <c r="C46" s="49" t="n"/>
      <c r="D46" s="49" t="n"/>
      <c r="E46" s="29" t="n"/>
      <c r="F46" s="49" t="n"/>
      <c r="G46" s="28" t="n"/>
      <c r="H46" s="49" t="n"/>
    </row>
    <row r="47" ht="20" customHeight="1">
      <c r="A47" s="28" t="n"/>
      <c r="B47" s="45" t="n"/>
      <c r="C47" s="49" t="n"/>
      <c r="D47" s="49" t="n"/>
      <c r="E47" s="29" t="n"/>
      <c r="F47" s="49" t="n"/>
      <c r="G47" s="28" t="n"/>
      <c r="H47" s="49" t="n"/>
    </row>
    <row r="48" ht="20" customHeight="1">
      <c r="A48" s="28" t="n"/>
      <c r="B48" s="45" t="n"/>
      <c r="C48" s="49" t="n"/>
      <c r="D48" s="49" t="n"/>
      <c r="E48" s="29" t="n"/>
      <c r="F48" s="49" t="n"/>
      <c r="G48" s="28" t="n"/>
      <c r="H48" s="49" t="n"/>
    </row>
    <row r="49" ht="20" customHeight="1">
      <c r="A49" s="28" t="n"/>
      <c r="B49" s="45" t="n"/>
      <c r="C49" s="49" t="n"/>
      <c r="D49" s="49" t="n"/>
      <c r="E49" s="29" t="n"/>
      <c r="F49" s="49" t="n"/>
      <c r="G49" s="28" t="n"/>
      <c r="H49" s="49" t="n"/>
    </row>
    <row r="50" ht="20" customHeight="1">
      <c r="A50" s="28" t="n"/>
      <c r="B50" s="45" t="n"/>
      <c r="C50" s="49" t="n"/>
      <c r="D50" s="49" t="n"/>
      <c r="E50" s="29" t="n"/>
      <c r="F50" s="49" t="n"/>
      <c r="G50" s="28" t="n"/>
      <c r="H50" s="49" t="n"/>
    </row>
    <row r="51" ht="20" customHeight="1">
      <c r="A51" s="28" t="n"/>
      <c r="B51" s="45" t="n"/>
      <c r="C51" s="49" t="n"/>
      <c r="D51" s="49" t="n"/>
      <c r="E51" s="29" t="n"/>
      <c r="F51" s="49" t="n"/>
      <c r="G51" s="28" t="n"/>
      <c r="H51" s="49" t="n"/>
    </row>
    <row r="52" ht="20" customHeight="1">
      <c r="A52" s="28" t="n"/>
      <c r="B52" s="45" t="n"/>
      <c r="C52" s="49" t="n"/>
      <c r="D52" s="49" t="n"/>
      <c r="E52" s="29" t="n"/>
      <c r="F52" s="49" t="n"/>
      <c r="G52" s="28" t="n"/>
      <c r="H52" s="49" t="n"/>
    </row>
    <row r="53" ht="20" customHeight="1">
      <c r="A53" s="28" t="n"/>
      <c r="B53" s="45" t="n"/>
      <c r="C53" s="49" t="n"/>
      <c r="D53" s="49" t="n"/>
      <c r="E53" s="29" t="n"/>
      <c r="F53" s="49" t="n"/>
      <c r="G53" s="28" t="n"/>
      <c r="H53" s="49" t="n"/>
    </row>
    <row r="54" ht="20" customHeight="1">
      <c r="A54" s="28" t="n"/>
      <c r="B54" s="45" t="n"/>
      <c r="C54" s="49" t="n"/>
      <c r="D54" s="49" t="n"/>
      <c r="E54" s="29" t="n"/>
      <c r="F54" s="49" t="n"/>
      <c r="G54" s="28" t="n"/>
      <c r="H54" s="49" t="n"/>
    </row>
    <row r="55" ht="20" customHeight="1">
      <c r="A55" s="28" t="n"/>
      <c r="B55" s="45" t="n"/>
      <c r="C55" s="49" t="n"/>
      <c r="D55" s="49" t="n"/>
      <c r="E55" s="29" t="n"/>
      <c r="F55" s="49" t="n"/>
      <c r="G55" s="28" t="n"/>
      <c r="H55" s="49" t="n"/>
    </row>
    <row r="56" ht="20" customHeight="1">
      <c r="A56" s="28" t="n"/>
      <c r="B56" s="45" t="n"/>
      <c r="C56" s="49" t="n"/>
      <c r="D56" s="49" t="n"/>
      <c r="E56" s="29" t="n"/>
      <c r="F56" s="49" t="n"/>
      <c r="G56" s="28" t="n"/>
      <c r="H56" s="49" t="n"/>
    </row>
    <row r="57" ht="20" customHeight="1">
      <c r="A57" s="28" t="n"/>
      <c r="B57" s="45" t="n"/>
      <c r="C57" s="49" t="n"/>
      <c r="D57" s="49" t="n"/>
      <c r="E57" s="29" t="n"/>
      <c r="F57" s="49" t="n"/>
      <c r="G57" s="28" t="n"/>
      <c r="H57" s="49" t="n"/>
    </row>
    <row r="58" ht="20" customHeight="1">
      <c r="A58" s="28" t="n"/>
      <c r="B58" s="45" t="n"/>
      <c r="C58" s="49" t="n"/>
      <c r="D58" s="49" t="n"/>
      <c r="E58" s="29" t="n"/>
      <c r="F58" s="49" t="n"/>
      <c r="G58" s="28" t="n"/>
      <c r="H58" s="49" t="n"/>
    </row>
    <row r="59" ht="20" customHeight="1">
      <c r="A59" s="28" t="n"/>
      <c r="B59" s="45" t="n"/>
      <c r="C59" s="49" t="n"/>
      <c r="D59" s="49" t="n"/>
      <c r="E59" s="29" t="n"/>
      <c r="F59" s="49" t="n"/>
      <c r="G59" s="28" t="n"/>
      <c r="H59" s="49" t="n"/>
    </row>
    <row r="60" ht="20" customHeight="1">
      <c r="A60" s="28" t="n"/>
      <c r="B60" s="45" t="n"/>
      <c r="C60" s="49" t="n"/>
      <c r="D60" s="49" t="n"/>
      <c r="E60" s="29" t="n"/>
      <c r="F60" s="49" t="n"/>
      <c r="G60" s="28" t="n"/>
      <c r="H60" s="49" t="n"/>
    </row>
    <row r="61" ht="20" customHeight="1">
      <c r="A61" s="28" t="n"/>
      <c r="B61" s="45" t="n"/>
      <c r="C61" s="49" t="n"/>
      <c r="D61" s="49" t="n"/>
      <c r="E61" s="29" t="n"/>
      <c r="F61" s="49" t="n"/>
      <c r="G61" s="28" t="n"/>
      <c r="H61" s="49" t="n"/>
    </row>
    <row r="62" ht="20" customHeight="1">
      <c r="A62" s="28" t="n"/>
      <c r="B62" s="45" t="n"/>
      <c r="C62" s="49" t="n"/>
      <c r="D62" s="49" t="n"/>
      <c r="E62" s="29" t="n"/>
      <c r="F62" s="49" t="n"/>
      <c r="G62" s="28" t="n"/>
      <c r="H62" s="49" t="n"/>
    </row>
    <row r="63" ht="20" customHeight="1">
      <c r="A63" s="28" t="n"/>
      <c r="B63" s="45" t="n"/>
      <c r="C63" s="49" t="n"/>
      <c r="D63" s="49" t="n"/>
      <c r="E63" s="29" t="n"/>
      <c r="F63" s="49" t="n"/>
      <c r="G63" s="28" t="n"/>
      <c r="H63" s="49" t="n"/>
    </row>
    <row r="64" ht="20" customHeight="1">
      <c r="A64" s="28" t="n"/>
      <c r="B64" s="45" t="n"/>
      <c r="C64" s="49" t="n"/>
      <c r="D64" s="49" t="n"/>
      <c r="E64" s="29" t="n"/>
      <c r="F64" s="49" t="n"/>
      <c r="G64" s="28" t="n"/>
      <c r="H64" s="49" t="n"/>
    </row>
    <row r="65" ht="20" customHeight="1">
      <c r="A65" s="28" t="n"/>
      <c r="B65" s="45" t="n"/>
      <c r="C65" s="49" t="n"/>
      <c r="D65" s="49" t="n"/>
      <c r="E65" s="29" t="n"/>
      <c r="F65" s="49" t="n"/>
      <c r="G65" s="28" t="n"/>
      <c r="H65" s="49" t="n"/>
    </row>
    <row r="66" ht="20" customHeight="1">
      <c r="A66" s="28" t="n"/>
      <c r="B66" s="45" t="n"/>
      <c r="C66" s="49" t="n"/>
      <c r="D66" s="49" t="n"/>
      <c r="E66" s="29" t="n"/>
      <c r="F66" s="49" t="n"/>
      <c r="G66" s="28" t="n"/>
      <c r="H66" s="49" t="n"/>
    </row>
    <row r="67" ht="20" customHeight="1">
      <c r="A67" s="28" t="n"/>
      <c r="B67" s="45" t="n"/>
      <c r="C67" s="49" t="n"/>
      <c r="D67" s="49" t="n"/>
      <c r="E67" s="29" t="n"/>
      <c r="F67" s="49" t="n"/>
      <c r="G67" s="28" t="n"/>
      <c r="H67" s="49" t="n"/>
    </row>
    <row r="68" ht="20" customHeight="1">
      <c r="A68" s="28" t="n"/>
      <c r="B68" s="45" t="n"/>
      <c r="C68" s="49" t="n"/>
      <c r="D68" s="49" t="n"/>
      <c r="E68" s="29" t="n"/>
      <c r="F68" s="49" t="n"/>
      <c r="G68" s="28" t="n"/>
      <c r="H68" s="49" t="n"/>
    </row>
    <row r="69" ht="20" customHeight="1">
      <c r="A69" s="28" t="n"/>
      <c r="B69" s="45" t="n"/>
      <c r="C69" s="49" t="n"/>
      <c r="D69" s="49" t="n"/>
      <c r="E69" s="29" t="n"/>
      <c r="F69" s="49" t="n"/>
      <c r="G69" s="28" t="n"/>
      <c r="H69" s="49" t="n"/>
    </row>
    <row r="70" ht="20" customHeight="1">
      <c r="A70" s="28" t="n"/>
      <c r="B70" s="45" t="n"/>
      <c r="C70" s="49" t="n"/>
      <c r="D70" s="49" t="n"/>
      <c r="E70" s="29" t="n"/>
      <c r="F70" s="49" t="n"/>
      <c r="G70" s="28" t="n"/>
      <c r="H70" s="49" t="n"/>
    </row>
    <row r="71" ht="20" customHeight="1">
      <c r="A71" s="28" t="n"/>
      <c r="B71" s="45" t="n"/>
      <c r="C71" s="49" t="n"/>
      <c r="D71" s="49" t="n"/>
      <c r="E71" s="29" t="n"/>
      <c r="F71" s="49" t="n"/>
      <c r="G71" s="28" t="n"/>
      <c r="H71" s="49" t="n"/>
    </row>
    <row r="72" ht="20" customHeight="1">
      <c r="A72" s="28" t="n"/>
      <c r="B72" s="45" t="n"/>
      <c r="C72" s="49" t="n"/>
      <c r="D72" s="49" t="n"/>
      <c r="E72" s="29" t="n"/>
      <c r="F72" s="49" t="n"/>
      <c r="G72" s="28" t="n"/>
      <c r="H72" s="49" t="n"/>
    </row>
    <row r="73" ht="20" customHeight="1">
      <c r="A73" s="28" t="n"/>
      <c r="B73" s="45" t="n"/>
      <c r="C73" s="49" t="n"/>
      <c r="D73" s="49" t="n"/>
      <c r="E73" s="29" t="n"/>
      <c r="F73" s="49" t="n"/>
      <c r="G73" s="28" t="n"/>
      <c r="H73" s="49" t="n"/>
    </row>
    <row r="74" ht="20" customHeight="1">
      <c r="A74" s="28" t="n"/>
      <c r="B74" s="45" t="n"/>
      <c r="C74" s="49" t="n"/>
      <c r="D74" s="49" t="n"/>
      <c r="E74" s="29" t="n"/>
      <c r="F74" s="49" t="n"/>
      <c r="G74" s="28" t="n"/>
      <c r="H74" s="49" t="n"/>
    </row>
    <row r="75" ht="20" customHeight="1">
      <c r="A75" s="28" t="n"/>
      <c r="B75" s="45" t="n"/>
      <c r="C75" s="49" t="n"/>
      <c r="D75" s="49" t="n"/>
      <c r="E75" s="29" t="n"/>
      <c r="F75" s="49" t="n"/>
      <c r="G75" s="28" t="n"/>
      <c r="H75" s="49" t="n"/>
    </row>
    <row r="76" ht="20" customHeight="1">
      <c r="A76" s="28" t="n"/>
      <c r="B76" s="45" t="n"/>
      <c r="C76" s="49" t="n"/>
      <c r="D76" s="49" t="n"/>
      <c r="E76" s="29" t="n"/>
      <c r="F76" s="49" t="n"/>
      <c r="G76" s="28" t="n"/>
      <c r="H76" s="49" t="n"/>
    </row>
    <row r="77" ht="20" customHeight="1">
      <c r="A77" s="28" t="n"/>
      <c r="B77" s="45" t="n"/>
      <c r="C77" s="49" t="n"/>
      <c r="D77" s="49" t="n"/>
      <c r="E77" s="29" t="n"/>
      <c r="F77" s="49" t="n"/>
      <c r="G77" s="28" t="n"/>
      <c r="H77" s="49" t="n"/>
    </row>
    <row r="78" ht="20" customHeight="1">
      <c r="A78" s="28" t="n"/>
      <c r="B78" s="45" t="n"/>
      <c r="C78" s="49" t="n"/>
      <c r="D78" s="49" t="n"/>
      <c r="E78" s="29" t="n"/>
      <c r="F78" s="49" t="n"/>
      <c r="G78" s="28" t="n"/>
      <c r="H78" s="49" t="n"/>
    </row>
    <row r="79" ht="20" customHeight="1">
      <c r="A79" s="28" t="n"/>
      <c r="B79" s="45" t="n"/>
      <c r="C79" s="49" t="n"/>
      <c r="D79" s="49" t="n"/>
      <c r="E79" s="29" t="n"/>
      <c r="F79" s="49" t="n"/>
      <c r="G79" s="28" t="n"/>
      <c r="H79" s="49" t="n"/>
    </row>
    <row r="80" ht="20" customHeight="1">
      <c r="A80" s="28" t="n"/>
      <c r="B80" s="45" t="n"/>
      <c r="C80" s="49" t="n"/>
      <c r="D80" s="49" t="n"/>
      <c r="E80" s="29" t="n"/>
      <c r="F80" s="49" t="n"/>
      <c r="G80" s="28" t="n"/>
      <c r="H80" s="49" t="n"/>
    </row>
    <row r="81" ht="20" customHeight="1">
      <c r="A81" s="28" t="n"/>
      <c r="B81" s="45" t="n"/>
      <c r="C81" s="49" t="n"/>
      <c r="D81" s="49" t="n"/>
      <c r="E81" s="29" t="n"/>
      <c r="F81" s="49" t="n"/>
      <c r="G81" s="28" t="n"/>
      <c r="H81" s="49" t="n"/>
    </row>
    <row r="82" ht="20" customHeight="1">
      <c r="A82" s="28" t="n"/>
      <c r="B82" s="45" t="n"/>
      <c r="C82" s="49" t="n"/>
      <c r="D82" s="49" t="n"/>
      <c r="E82" s="29" t="n"/>
      <c r="F82" s="49" t="n"/>
      <c r="G82" s="28" t="n"/>
      <c r="H82" s="49" t="n"/>
    </row>
    <row r="83" ht="20" customHeight="1">
      <c r="A83" s="28" t="n"/>
      <c r="B83" s="45" t="n"/>
      <c r="C83" s="49" t="n"/>
      <c r="D83" s="49" t="n"/>
      <c r="E83" s="29" t="n"/>
      <c r="F83" s="49" t="n"/>
      <c r="G83" s="28" t="n"/>
      <c r="H83" s="49" t="n"/>
    </row>
    <row r="84" ht="20" customHeight="1">
      <c r="A84" s="28" t="n"/>
      <c r="B84" s="45" t="n"/>
      <c r="C84" s="49" t="n"/>
      <c r="D84" s="49" t="n"/>
      <c r="E84" s="29" t="n"/>
      <c r="F84" s="49" t="n"/>
      <c r="G84" s="28" t="n"/>
      <c r="H84" s="49" t="n"/>
    </row>
    <row r="85" ht="20" customHeight="1">
      <c r="A85" s="28" t="n"/>
      <c r="B85" s="45" t="n"/>
      <c r="C85" s="49" t="n"/>
      <c r="D85" s="49" t="n"/>
      <c r="E85" s="29" t="n"/>
      <c r="F85" s="49" t="n"/>
      <c r="G85" s="28" t="n"/>
      <c r="H85" s="49" t="n"/>
    </row>
    <row r="86" ht="20" customHeight="1">
      <c r="A86" s="28" t="n"/>
      <c r="B86" s="45" t="n"/>
      <c r="C86" s="49" t="n"/>
      <c r="D86" s="49" t="n"/>
      <c r="E86" s="29" t="n"/>
      <c r="F86" s="49" t="n"/>
      <c r="G86" s="28" t="n"/>
      <c r="H86" s="49" t="n"/>
    </row>
    <row r="87" ht="20" customHeight="1">
      <c r="A87" s="28" t="n"/>
      <c r="B87" s="45" t="n"/>
      <c r="C87" s="49" t="n"/>
      <c r="D87" s="49" t="n"/>
      <c r="E87" s="29" t="n"/>
      <c r="F87" s="49" t="n"/>
      <c r="G87" s="28" t="n"/>
      <c r="H87" s="49" t="n"/>
    </row>
    <row r="88" ht="20" customHeight="1">
      <c r="A88" s="28" t="n"/>
      <c r="B88" s="45" t="n"/>
      <c r="C88" s="49" t="n"/>
      <c r="D88" s="49" t="n"/>
      <c r="E88" s="29" t="n"/>
      <c r="F88" s="49" t="n"/>
      <c r="G88" s="28" t="n"/>
      <c r="H88" s="49" t="n"/>
    </row>
    <row r="89" ht="20" customHeight="1">
      <c r="A89" s="28" t="n"/>
      <c r="B89" s="45" t="n"/>
      <c r="C89" s="49" t="n"/>
      <c r="D89" s="49" t="n"/>
      <c r="E89" s="29" t="n"/>
      <c r="F89" s="49" t="n"/>
      <c r="G89" s="28" t="n"/>
      <c r="H89" s="49" t="n"/>
    </row>
    <row r="90" ht="20" customHeight="1">
      <c r="A90" s="28" t="n"/>
      <c r="B90" s="45" t="n"/>
      <c r="C90" s="49" t="n"/>
      <c r="D90" s="49" t="n"/>
      <c r="E90" s="29" t="n"/>
      <c r="F90" s="49" t="n"/>
      <c r="G90" s="28" t="n"/>
      <c r="H90" s="49" t="n"/>
    </row>
    <row r="91" ht="20" customHeight="1">
      <c r="A91" s="28" t="n"/>
      <c r="B91" s="45" t="n"/>
      <c r="C91" s="49" t="n"/>
      <c r="D91" s="49" t="n"/>
      <c r="E91" s="29" t="n"/>
      <c r="F91" s="49" t="n"/>
      <c r="G91" s="28" t="n"/>
      <c r="H91" s="49" t="n"/>
    </row>
    <row r="92" ht="20" customHeight="1">
      <c r="A92" s="28" t="n"/>
      <c r="B92" s="45" t="n"/>
      <c r="C92" s="49" t="n"/>
      <c r="D92" s="49" t="n"/>
      <c r="E92" s="29" t="n"/>
      <c r="F92" s="49" t="n"/>
      <c r="G92" s="28" t="n"/>
      <c r="H92" s="49" t="n"/>
    </row>
    <row r="93" ht="20" customHeight="1">
      <c r="A93" s="28" t="n"/>
      <c r="B93" s="45" t="n"/>
      <c r="C93" s="49" t="n"/>
      <c r="D93" s="49" t="n"/>
      <c r="E93" s="29" t="n"/>
      <c r="F93" s="49" t="n"/>
      <c r="G93" s="28" t="n"/>
      <c r="H93" s="49" t="n"/>
    </row>
    <row r="94" ht="20" customHeight="1">
      <c r="A94" s="28" t="n"/>
      <c r="B94" s="45" t="n"/>
      <c r="C94" s="49" t="n"/>
      <c r="D94" s="49" t="n"/>
      <c r="E94" s="29" t="n"/>
      <c r="F94" s="49" t="n"/>
      <c r="G94" s="28" t="n"/>
      <c r="H94" s="49" t="n"/>
    </row>
    <row r="95" ht="20" customHeight="1">
      <c r="A95" s="28" t="n"/>
      <c r="B95" s="45" t="n"/>
      <c r="C95" s="49" t="n"/>
      <c r="D95" s="49" t="n"/>
      <c r="E95" s="29" t="n"/>
      <c r="F95" s="49" t="n"/>
      <c r="G95" s="28" t="n"/>
      <c r="H95" s="49" t="n"/>
    </row>
    <row r="96" ht="20" customHeight="1">
      <c r="A96" s="28" t="n"/>
      <c r="B96" s="45" t="n"/>
      <c r="C96" s="49" t="n"/>
      <c r="D96" s="49" t="n"/>
      <c r="E96" s="29" t="n"/>
      <c r="F96" s="49" t="n"/>
      <c r="G96" s="28" t="n"/>
      <c r="H96" s="49" t="n"/>
    </row>
    <row r="97" ht="20" customHeight="1">
      <c r="A97" s="28" t="n"/>
      <c r="B97" s="45" t="n"/>
      <c r="C97" s="49" t="n"/>
      <c r="D97" s="49" t="n"/>
      <c r="E97" s="29" t="n"/>
      <c r="F97" s="49" t="n"/>
      <c r="G97" s="28" t="n"/>
      <c r="H97" s="49" t="n"/>
    </row>
    <row r="98" ht="20" customHeight="1">
      <c r="A98" s="28" t="n"/>
      <c r="B98" s="45" t="n"/>
      <c r="C98" s="49" t="n"/>
      <c r="D98" s="49" t="n"/>
      <c r="E98" s="29" t="n"/>
      <c r="F98" s="49" t="n"/>
      <c r="G98" s="28" t="n"/>
      <c r="H98" s="49" t="n"/>
    </row>
    <row r="99" ht="20" customHeight="1">
      <c r="A99" s="28" t="n"/>
      <c r="B99" s="45" t="n"/>
      <c r="C99" s="49" t="n"/>
      <c r="D99" s="49" t="n"/>
      <c r="E99" s="29" t="n"/>
      <c r="F99" s="49" t="n"/>
      <c r="G99" s="28" t="n"/>
      <c r="H99" s="49" t="n"/>
    </row>
    <row r="100" ht="20" customHeight="1">
      <c r="A100" s="28" t="n"/>
      <c r="B100" s="45" t="n"/>
      <c r="C100" s="49" t="n"/>
      <c r="D100" s="49" t="n"/>
      <c r="E100" s="29" t="n"/>
      <c r="F100" s="49" t="n"/>
      <c r="G100" s="28" t="n"/>
      <c r="H100" s="49" t="n"/>
    </row>
    <row r="101" ht="20" customHeight="1">
      <c r="A101" s="28" t="n"/>
      <c r="B101" s="45" t="n"/>
      <c r="C101" s="49" t="n"/>
      <c r="D101" s="49" t="n"/>
      <c r="E101" s="29" t="n"/>
      <c r="F101" s="49" t="n"/>
      <c r="G101" s="28" t="n"/>
      <c r="H101" s="49" t="n"/>
    </row>
    <row r="102" ht="20" customHeight="1">
      <c r="A102" s="28" t="n"/>
      <c r="B102" s="45" t="n"/>
      <c r="C102" s="49" t="n"/>
      <c r="D102" s="49" t="n"/>
      <c r="E102" s="29" t="n"/>
      <c r="F102" s="49" t="n"/>
      <c r="G102" s="28" t="n"/>
      <c r="H102" s="49" t="n"/>
    </row>
    <row r="103" ht="20" customHeight="1">
      <c r="A103" s="28" t="n"/>
      <c r="B103" s="45" t="n"/>
      <c r="C103" s="49" t="n"/>
      <c r="D103" s="49" t="n"/>
      <c r="E103" s="29" t="n"/>
      <c r="F103" s="49" t="n"/>
      <c r="G103" s="28" t="n"/>
      <c r="H103" s="49" t="n"/>
    </row>
    <row r="104" ht="20" customHeight="1">
      <c r="A104" s="28" t="n"/>
      <c r="B104" s="45" t="n"/>
      <c r="C104" s="49" t="n"/>
      <c r="D104" s="49" t="n"/>
      <c r="E104" s="29" t="n"/>
      <c r="F104" s="49" t="n"/>
      <c r="G104" s="28" t="n"/>
      <c r="H104" s="49" t="n"/>
    </row>
    <row r="105" ht="20" customHeight="1">
      <c r="A105" s="28" t="n"/>
      <c r="B105" s="45" t="n"/>
      <c r="C105" s="49" t="n"/>
      <c r="D105" s="49" t="n"/>
      <c r="E105" s="29" t="n"/>
      <c r="F105" s="49" t="n"/>
      <c r="G105" s="28" t="n"/>
      <c r="H105" s="49" t="n"/>
    </row>
    <row r="106" ht="20" customHeight="1">
      <c r="A106" s="28" t="n"/>
      <c r="B106" s="45" t="n"/>
      <c r="C106" s="49" t="n"/>
      <c r="D106" s="49" t="n"/>
      <c r="E106" s="29" t="n"/>
      <c r="F106" s="49" t="n"/>
      <c r="G106" s="28" t="n"/>
      <c r="H106" s="49" t="n"/>
    </row>
    <row r="107" ht="20" customHeight="1">
      <c r="A107" s="28" t="n"/>
      <c r="B107" s="45" t="n"/>
      <c r="C107" s="49" t="n"/>
      <c r="D107" s="49" t="n"/>
      <c r="E107" s="29" t="n"/>
      <c r="F107" s="49" t="n"/>
      <c r="G107" s="28" t="n"/>
      <c r="H107" s="49" t="n"/>
    </row>
    <row r="108" ht="20" customHeight="1">
      <c r="A108" s="28" t="n"/>
      <c r="B108" s="45" t="n"/>
      <c r="C108" s="49" t="n"/>
      <c r="D108" s="49" t="n"/>
      <c r="E108" s="29" t="n"/>
      <c r="F108" s="49" t="n"/>
      <c r="G108" s="28" t="n"/>
      <c r="H108" s="49" t="n"/>
    </row>
    <row r="109" ht="20" customHeight="1">
      <c r="A109" s="28" t="n"/>
      <c r="B109" s="45" t="n"/>
      <c r="C109" s="49" t="n"/>
      <c r="D109" s="49" t="n"/>
      <c r="E109" s="29" t="n"/>
      <c r="F109" s="49" t="n"/>
      <c r="G109" s="28" t="n"/>
      <c r="H109" s="49" t="n"/>
    </row>
    <row r="110" ht="20" customHeight="1">
      <c r="A110" s="28" t="n"/>
      <c r="B110" s="45" t="n"/>
      <c r="C110" s="49" t="n"/>
      <c r="D110" s="49" t="n"/>
      <c r="E110" s="29" t="n"/>
      <c r="F110" s="49" t="n"/>
      <c r="G110" s="28" t="n"/>
      <c r="H110" s="49" t="n"/>
    </row>
    <row r="111" ht="20" customHeight="1">
      <c r="A111" s="28" t="n"/>
      <c r="B111" s="45" t="n"/>
      <c r="C111" s="49" t="n"/>
      <c r="D111" s="49" t="n"/>
      <c r="E111" s="29" t="n"/>
      <c r="F111" s="49" t="n"/>
      <c r="G111" s="28" t="n"/>
      <c r="H111" s="49" t="n"/>
    </row>
    <row r="112" ht="20" customHeight="1">
      <c r="A112" s="28" t="n"/>
      <c r="B112" s="45" t="n"/>
      <c r="C112" s="49" t="n"/>
      <c r="D112" s="49" t="n"/>
      <c r="E112" s="29" t="n"/>
      <c r="F112" s="49" t="n"/>
      <c r="G112" s="28" t="n"/>
      <c r="H112" s="49" t="n"/>
    </row>
    <row r="113" ht="20" customHeight="1">
      <c r="A113" s="28" t="n"/>
      <c r="B113" s="45" t="n"/>
      <c r="C113" s="49" t="n"/>
      <c r="D113" s="49" t="n"/>
      <c r="E113" s="29" t="n"/>
      <c r="F113" s="49" t="n"/>
      <c r="G113" s="28" t="n"/>
      <c r="H113" s="49" t="n"/>
    </row>
    <row r="114" ht="20" customHeight="1">
      <c r="A114" s="28" t="n"/>
      <c r="B114" s="45" t="n"/>
      <c r="C114" s="49" t="n"/>
      <c r="D114" s="49" t="n"/>
      <c r="E114" s="29" t="n"/>
      <c r="F114" s="49" t="n"/>
      <c r="G114" s="28" t="n"/>
      <c r="H114" s="49" t="n"/>
    </row>
    <row r="115" ht="20" customHeight="1">
      <c r="A115" s="28" t="n"/>
      <c r="B115" s="45" t="n"/>
      <c r="C115" s="49" t="n"/>
      <c r="D115" s="49" t="n"/>
      <c r="E115" s="29" t="n"/>
      <c r="F115" s="49" t="n"/>
      <c r="G115" s="28" t="n"/>
      <c r="H115" s="49" t="n"/>
    </row>
    <row r="116" ht="20" customHeight="1">
      <c r="A116" s="28" t="n"/>
      <c r="B116" s="45" t="n"/>
      <c r="C116" s="49" t="n"/>
      <c r="D116" s="49" t="n"/>
      <c r="E116" s="29" t="n"/>
      <c r="F116" s="49" t="n"/>
      <c r="G116" s="28" t="n"/>
      <c r="H116" s="49" t="n"/>
    </row>
    <row r="117" ht="20" customHeight="1">
      <c r="A117" s="28" t="n"/>
      <c r="B117" s="45" t="n"/>
      <c r="C117" s="49" t="n"/>
      <c r="D117" s="49" t="n"/>
      <c r="E117" s="29" t="n"/>
      <c r="F117" s="49" t="n"/>
      <c r="G117" s="28" t="n"/>
      <c r="H117" s="49" t="n"/>
    </row>
    <row r="118" ht="20" customHeight="1">
      <c r="A118" s="28" t="n"/>
      <c r="B118" s="45" t="n"/>
      <c r="C118" s="49" t="n"/>
      <c r="D118" s="49" t="n"/>
      <c r="E118" s="29" t="n"/>
      <c r="F118" s="49" t="n"/>
      <c r="G118" s="28" t="n"/>
      <c r="H118" s="49" t="n"/>
    </row>
    <row r="119" ht="20" customHeight="1">
      <c r="A119" s="28" t="n"/>
      <c r="B119" s="45" t="n"/>
      <c r="C119" s="49" t="n"/>
      <c r="D119" s="49" t="n"/>
      <c r="E119" s="29" t="n"/>
      <c r="F119" s="49" t="n"/>
      <c r="G119" s="28" t="n"/>
      <c r="H119" s="49" t="n"/>
    </row>
    <row r="120" ht="20" customHeight="1">
      <c r="A120" s="28" t="n"/>
      <c r="B120" s="45" t="n"/>
      <c r="C120" s="49" t="n"/>
      <c r="D120" s="49" t="n"/>
      <c r="E120" s="29" t="n"/>
      <c r="F120" s="49" t="n"/>
      <c r="G120" s="28" t="n"/>
      <c r="H120" s="49" t="n"/>
    </row>
    <row r="121" ht="20" customHeight="1">
      <c r="A121" s="28" t="n"/>
      <c r="B121" s="45" t="n"/>
      <c r="C121" s="49" t="n"/>
      <c r="D121" s="49" t="n"/>
      <c r="E121" s="29" t="n"/>
      <c r="F121" s="49" t="n"/>
      <c r="G121" s="28" t="n"/>
      <c r="H121" s="49" t="n"/>
    </row>
    <row r="122" ht="20" customHeight="1">
      <c r="A122" s="28" t="n"/>
      <c r="B122" s="45" t="n"/>
      <c r="C122" s="49" t="n"/>
      <c r="D122" s="49" t="n"/>
      <c r="E122" s="29" t="n"/>
      <c r="F122" s="49" t="n"/>
      <c r="G122" s="28" t="n"/>
      <c r="H122" s="49" t="n"/>
    </row>
    <row r="123" ht="20" customHeight="1">
      <c r="A123" s="28" t="n"/>
      <c r="B123" s="45" t="n"/>
      <c r="C123" s="49" t="n"/>
      <c r="D123" s="49" t="n"/>
      <c r="E123" s="29" t="n"/>
      <c r="F123" s="49" t="n"/>
      <c r="G123" s="28" t="n"/>
      <c r="H123" s="49" t="n"/>
    </row>
    <row r="124" ht="20" customHeight="1">
      <c r="A124" s="28" t="n"/>
      <c r="B124" s="45" t="n"/>
      <c r="C124" s="49" t="n"/>
      <c r="D124" s="49" t="n"/>
      <c r="E124" s="29" t="n"/>
      <c r="F124" s="49" t="n"/>
      <c r="G124" s="28" t="n"/>
      <c r="H124" s="49" t="n"/>
    </row>
    <row r="125" ht="20" customHeight="1">
      <c r="A125" s="28" t="n"/>
      <c r="B125" s="45" t="n"/>
      <c r="C125" s="49" t="n"/>
      <c r="D125" s="49" t="n"/>
      <c r="E125" s="29" t="n"/>
      <c r="F125" s="49" t="n"/>
      <c r="G125" s="28" t="n"/>
      <c r="H125" s="49" t="n"/>
    </row>
    <row r="126" ht="20" customHeight="1">
      <c r="A126" s="28" t="n"/>
      <c r="B126" s="45" t="n"/>
      <c r="C126" s="49" t="n"/>
      <c r="D126" s="49" t="n"/>
      <c r="E126" s="29" t="n"/>
      <c r="F126" s="49" t="n"/>
      <c r="G126" s="28" t="n"/>
      <c r="H126" s="49" t="n"/>
    </row>
    <row r="127" ht="20" customHeight="1">
      <c r="A127" s="28" t="n"/>
      <c r="B127" s="45" t="n"/>
      <c r="C127" s="49" t="n"/>
      <c r="D127" s="49" t="n"/>
      <c r="E127" s="29" t="n"/>
      <c r="F127" s="49" t="n"/>
      <c r="G127" s="28" t="n"/>
      <c r="H127" s="49" t="n"/>
    </row>
    <row r="128" ht="20" customHeight="1">
      <c r="A128" s="28" t="n"/>
      <c r="B128" s="45" t="n"/>
      <c r="C128" s="49" t="n"/>
      <c r="D128" s="49" t="n"/>
      <c r="E128" s="29" t="n"/>
      <c r="F128" s="49" t="n"/>
      <c r="G128" s="28" t="n"/>
      <c r="H128" s="49" t="n"/>
    </row>
    <row r="129" ht="20" customHeight="1">
      <c r="A129" s="28" t="n"/>
      <c r="B129" s="45" t="n"/>
      <c r="C129" s="49" t="n"/>
      <c r="D129" s="49" t="n"/>
      <c r="E129" s="29" t="n"/>
      <c r="F129" s="49" t="n"/>
      <c r="G129" s="28" t="n"/>
      <c r="H129" s="49" t="n"/>
    </row>
    <row r="130" ht="20" customHeight="1">
      <c r="A130" s="28" t="n"/>
      <c r="B130" s="45" t="n"/>
      <c r="C130" s="49" t="n"/>
      <c r="D130" s="49" t="n"/>
      <c r="E130" s="29" t="n"/>
      <c r="F130" s="49" t="n"/>
      <c r="G130" s="28" t="n"/>
      <c r="H130" s="49" t="n"/>
    </row>
    <row r="131" ht="20" customHeight="1">
      <c r="A131" s="28" t="n"/>
      <c r="B131" s="45" t="n"/>
      <c r="C131" s="49" t="n"/>
      <c r="D131" s="49" t="n"/>
      <c r="E131" s="29" t="n"/>
      <c r="F131" s="49" t="n"/>
      <c r="G131" s="28" t="n"/>
      <c r="H131" s="49" t="n"/>
    </row>
    <row r="132" ht="20" customHeight="1">
      <c r="A132" s="28" t="n"/>
      <c r="B132" s="45" t="n"/>
      <c r="C132" s="49" t="n"/>
      <c r="D132" s="49" t="n"/>
      <c r="E132" s="29" t="n"/>
      <c r="F132" s="49" t="n"/>
      <c r="G132" s="28" t="n"/>
      <c r="H132" s="49" t="n"/>
    </row>
    <row r="133" ht="20" customHeight="1">
      <c r="A133" s="28" t="n"/>
      <c r="B133" s="45" t="n"/>
      <c r="C133" s="49" t="n"/>
      <c r="D133" s="49" t="n"/>
      <c r="E133" s="29" t="n"/>
      <c r="F133" s="49" t="n"/>
      <c r="G133" s="28" t="n"/>
      <c r="H133" s="49" t="n"/>
    </row>
    <row r="134" ht="20" customHeight="1">
      <c r="A134" s="28" t="n"/>
      <c r="B134" s="45" t="n"/>
      <c r="C134" s="49" t="n"/>
      <c r="D134" s="49" t="n"/>
      <c r="E134" s="29" t="n"/>
      <c r="F134" s="49" t="n"/>
      <c r="G134" s="28" t="n"/>
      <c r="H134" s="49" t="n"/>
    </row>
    <row r="135" ht="20" customHeight="1">
      <c r="A135" s="28" t="n"/>
      <c r="B135" s="45" t="n"/>
      <c r="C135" s="49" t="n"/>
      <c r="D135" s="49" t="n"/>
      <c r="E135" s="29" t="n"/>
      <c r="F135" s="49" t="n"/>
      <c r="G135" s="28" t="n"/>
      <c r="H135" s="49" t="n"/>
    </row>
    <row r="136" ht="20" customHeight="1">
      <c r="A136" s="28" t="n"/>
      <c r="B136" s="45" t="n"/>
      <c r="C136" s="49" t="n"/>
      <c r="D136" s="49" t="n"/>
      <c r="E136" s="29" t="n"/>
      <c r="F136" s="49" t="n"/>
      <c r="G136" s="28" t="n"/>
      <c r="H136" s="49" t="n"/>
    </row>
    <row r="137" ht="20" customHeight="1">
      <c r="A137" s="28" t="n"/>
      <c r="B137" s="45" t="n"/>
      <c r="C137" s="49" t="n"/>
      <c r="D137" s="49" t="n"/>
      <c r="E137" s="29" t="n"/>
      <c r="F137" s="49" t="n"/>
      <c r="G137" s="28" t="n"/>
      <c r="H137" s="49" t="n"/>
    </row>
    <row r="138" ht="20" customHeight="1">
      <c r="A138" s="28" t="n"/>
      <c r="B138" s="45" t="n"/>
      <c r="C138" s="49" t="n"/>
      <c r="D138" s="49" t="n"/>
      <c r="E138" s="29" t="n"/>
      <c r="F138" s="49" t="n"/>
      <c r="G138" s="28" t="n"/>
      <c r="H138" s="49" t="n"/>
    </row>
    <row r="139" ht="20" customHeight="1">
      <c r="A139" s="28" t="n"/>
      <c r="B139" s="45" t="n"/>
      <c r="C139" s="49" t="n"/>
      <c r="D139" s="49" t="n"/>
      <c r="E139" s="29" t="n"/>
      <c r="F139" s="49" t="n"/>
      <c r="G139" s="28" t="n"/>
      <c r="H139" s="49" t="n"/>
    </row>
    <row r="140" ht="20" customHeight="1">
      <c r="A140" s="28" t="n"/>
      <c r="B140" s="45" t="n"/>
      <c r="C140" s="49" t="n"/>
      <c r="D140" s="49" t="n"/>
      <c r="E140" s="29" t="n"/>
      <c r="F140" s="49" t="n"/>
      <c r="G140" s="28" t="n"/>
      <c r="H140" s="49" t="n"/>
    </row>
    <row r="141" ht="20" customHeight="1">
      <c r="A141" s="28" t="n"/>
      <c r="B141" s="45" t="n"/>
      <c r="C141" s="49" t="n"/>
      <c r="D141" s="49" t="n"/>
      <c r="E141" s="29" t="n"/>
      <c r="F141" s="49" t="n"/>
      <c r="G141" s="28" t="n"/>
      <c r="H141" s="49" t="n"/>
    </row>
    <row r="142" ht="20" customHeight="1">
      <c r="A142" s="28" t="n"/>
      <c r="B142" s="45" t="n"/>
      <c r="C142" s="49" t="n"/>
      <c r="D142" s="49" t="n"/>
      <c r="E142" s="29" t="n"/>
      <c r="F142" s="49" t="n"/>
      <c r="G142" s="28" t="n"/>
      <c r="H142" s="49" t="n"/>
    </row>
    <row r="143" ht="20" customHeight="1">
      <c r="A143" s="28" t="n"/>
      <c r="B143" s="45" t="n"/>
      <c r="C143" s="49" t="n"/>
      <c r="D143" s="49" t="n"/>
      <c r="E143" s="29" t="n"/>
      <c r="F143" s="49" t="n"/>
      <c r="G143" s="28" t="n"/>
      <c r="H143" s="49" t="n"/>
    </row>
    <row r="144" ht="20" customHeight="1">
      <c r="A144" s="28" t="n"/>
      <c r="B144" s="45" t="n"/>
      <c r="C144" s="49" t="n"/>
      <c r="D144" s="49" t="n"/>
      <c r="E144" s="29" t="n"/>
      <c r="F144" s="49" t="n"/>
      <c r="G144" s="28" t="n"/>
      <c r="H144" s="49" t="n"/>
    </row>
    <row r="145" ht="20" customHeight="1">
      <c r="A145" s="28" t="n"/>
      <c r="B145" s="45" t="n"/>
      <c r="C145" s="49" t="n"/>
      <c r="D145" s="49" t="n"/>
      <c r="E145" s="29" t="n"/>
      <c r="F145" s="49" t="n"/>
      <c r="G145" s="28" t="n"/>
      <c r="H145" s="49" t="n"/>
    </row>
    <row r="146" ht="20" customHeight="1">
      <c r="A146" s="28" t="n"/>
      <c r="B146" s="45" t="n"/>
      <c r="C146" s="49" t="n"/>
      <c r="D146" s="49" t="n"/>
      <c r="E146" s="29" t="n"/>
      <c r="F146" s="49" t="n"/>
      <c r="G146" s="28" t="n"/>
      <c r="H146" s="49" t="n"/>
    </row>
    <row r="147" ht="20" customHeight="1">
      <c r="A147" s="28" t="n"/>
      <c r="B147" s="45" t="n"/>
      <c r="C147" s="49" t="n"/>
      <c r="D147" s="49" t="n"/>
      <c r="E147" s="29" t="n"/>
      <c r="F147" s="49" t="n"/>
      <c r="G147" s="28" t="n"/>
      <c r="H147" s="49" t="n"/>
    </row>
    <row r="148" ht="20" customHeight="1">
      <c r="A148" s="28" t="n"/>
      <c r="B148" s="45" t="n"/>
      <c r="C148" s="49" t="n"/>
      <c r="D148" s="49" t="n"/>
      <c r="E148" s="29" t="n"/>
      <c r="F148" s="49" t="n"/>
      <c r="G148" s="28" t="n"/>
      <c r="H148" s="49" t="n"/>
    </row>
    <row r="149" ht="20" customHeight="1">
      <c r="A149" s="28" t="n"/>
      <c r="B149" s="45" t="n"/>
      <c r="C149" s="49" t="n"/>
      <c r="D149" s="49" t="n"/>
      <c r="E149" s="29" t="n"/>
      <c r="F149" s="49" t="n"/>
      <c r="G149" s="28" t="n"/>
      <c r="H149" s="49" t="n"/>
    </row>
    <row r="150" ht="20" customHeight="1">
      <c r="A150" s="28" t="n"/>
      <c r="B150" s="45" t="n"/>
      <c r="C150" s="49" t="n"/>
      <c r="D150" s="49" t="n"/>
      <c r="E150" s="29" t="n"/>
      <c r="F150" s="49" t="n"/>
      <c r="G150" s="28" t="n"/>
      <c r="H150" s="49" t="n"/>
    </row>
    <row r="151" ht="20" customHeight="1">
      <c r="A151" s="28" t="n"/>
      <c r="B151" s="45" t="n"/>
      <c r="C151" s="49" t="n"/>
      <c r="D151" s="49" t="n"/>
      <c r="E151" s="29" t="n"/>
      <c r="F151" s="49" t="n"/>
      <c r="G151" s="28" t="n"/>
      <c r="H151" s="49" t="n"/>
    </row>
    <row r="152" ht="20" customHeight="1">
      <c r="A152" s="28" t="n"/>
      <c r="B152" s="45" t="n"/>
      <c r="C152" s="49" t="n"/>
      <c r="D152" s="49" t="n"/>
      <c r="E152" s="29" t="n"/>
      <c r="F152" s="49" t="n"/>
      <c r="G152" s="28" t="n"/>
      <c r="H152" s="49" t="n"/>
    </row>
    <row r="153" ht="20" customHeight="1">
      <c r="A153" s="28" t="n"/>
      <c r="B153" s="45" t="n"/>
      <c r="C153" s="49" t="n"/>
      <c r="D153" s="49" t="n"/>
      <c r="E153" s="29" t="n"/>
      <c r="F153" s="49" t="n"/>
      <c r="G153" s="28" t="n"/>
      <c r="H153" s="49" t="n"/>
    </row>
    <row r="154" ht="20" customHeight="1">
      <c r="A154" s="28" t="n"/>
      <c r="B154" s="45" t="n"/>
      <c r="C154" s="49" t="n"/>
      <c r="D154" s="49" t="n"/>
      <c r="E154" s="29" t="n"/>
      <c r="F154" s="49" t="n"/>
      <c r="G154" s="28" t="n"/>
      <c r="H154" s="49" t="n"/>
    </row>
    <row r="155" ht="20" customHeight="1">
      <c r="A155" s="28" t="n"/>
      <c r="B155" s="45" t="n"/>
      <c r="C155" s="49" t="n"/>
      <c r="D155" s="49" t="n"/>
      <c r="E155" s="29" t="n"/>
      <c r="F155" s="49" t="n"/>
      <c r="G155" s="28" t="n"/>
      <c r="H155" s="49" t="n"/>
    </row>
    <row r="156" ht="20" customHeight="1">
      <c r="A156" s="28" t="n"/>
      <c r="B156" s="45" t="n"/>
      <c r="C156" s="49" t="n"/>
      <c r="D156" s="49" t="n"/>
      <c r="E156" s="29" t="n"/>
      <c r="F156" s="49" t="n"/>
      <c r="G156" s="28" t="n"/>
      <c r="H156" s="49" t="n"/>
    </row>
    <row r="157" ht="20" customHeight="1">
      <c r="A157" s="28" t="n"/>
      <c r="B157" s="45" t="n"/>
      <c r="C157" s="49" t="n"/>
      <c r="D157" s="49" t="n"/>
      <c r="E157" s="29" t="n"/>
      <c r="F157" s="49" t="n"/>
      <c r="G157" s="28" t="n"/>
      <c r="H157" s="49" t="n"/>
    </row>
    <row r="158" ht="20" customHeight="1">
      <c r="A158" s="28" t="n"/>
      <c r="B158" s="45" t="n"/>
      <c r="C158" s="49" t="n"/>
      <c r="D158" s="49" t="n"/>
      <c r="E158" s="29" t="n"/>
      <c r="F158" s="49" t="n"/>
      <c r="G158" s="28" t="n"/>
      <c r="H158" s="49" t="n"/>
    </row>
    <row r="159" ht="20" customHeight="1">
      <c r="A159" s="28" t="n"/>
      <c r="B159" s="45" t="n"/>
      <c r="C159" s="49" t="n"/>
      <c r="D159" s="49" t="n"/>
      <c r="E159" s="29" t="n"/>
      <c r="F159" s="49" t="n"/>
      <c r="G159" s="28" t="n"/>
      <c r="H159" s="49" t="n"/>
    </row>
    <row r="160" ht="20" customHeight="1">
      <c r="A160" s="28" t="n"/>
      <c r="B160" s="45" t="n"/>
      <c r="C160" s="49" t="n"/>
      <c r="D160" s="49" t="n"/>
      <c r="E160" s="29" t="n"/>
      <c r="F160" s="49" t="n"/>
      <c r="G160" s="28" t="n"/>
      <c r="H160" s="49" t="n"/>
    </row>
    <row r="161" ht="20" customHeight="1">
      <c r="A161" s="28" t="n"/>
      <c r="B161" s="45" t="n"/>
      <c r="C161" s="49" t="n"/>
      <c r="D161" s="49" t="n"/>
      <c r="E161" s="29" t="n"/>
      <c r="F161" s="49" t="n"/>
      <c r="G161" s="28" t="n"/>
      <c r="H161" s="49" t="n"/>
    </row>
    <row r="162" ht="20" customHeight="1">
      <c r="A162" s="28" t="n"/>
      <c r="B162" s="45" t="n"/>
      <c r="C162" s="49" t="n"/>
      <c r="D162" s="49" t="n"/>
      <c r="E162" s="29" t="n"/>
      <c r="F162" s="49" t="n"/>
      <c r="G162" s="28" t="n"/>
      <c r="H162" s="49" t="n"/>
    </row>
    <row r="163" ht="20" customHeight="1">
      <c r="A163" s="28" t="n"/>
      <c r="B163" s="45" t="n"/>
      <c r="C163" s="49" t="n"/>
      <c r="D163" s="49" t="n"/>
      <c r="E163" s="29" t="n"/>
      <c r="F163" s="49" t="n"/>
      <c r="G163" s="28" t="n"/>
      <c r="H163" s="49" t="n"/>
    </row>
    <row r="164" ht="20" customHeight="1">
      <c r="A164" s="28" t="n"/>
      <c r="B164" s="45" t="n"/>
      <c r="C164" s="49" t="n"/>
      <c r="D164" s="49" t="n"/>
      <c r="E164" s="29" t="n"/>
      <c r="F164" s="49" t="n"/>
      <c r="G164" s="28" t="n"/>
      <c r="H164" s="49" t="n"/>
    </row>
    <row r="165" ht="20" customHeight="1">
      <c r="A165" s="28" t="n"/>
      <c r="B165" s="45" t="n"/>
      <c r="C165" s="49" t="n"/>
      <c r="D165" s="49" t="n"/>
      <c r="E165" s="29" t="n"/>
      <c r="F165" s="49" t="n"/>
      <c r="G165" s="28" t="n"/>
      <c r="H165" s="49" t="n"/>
    </row>
    <row r="166" ht="20" customHeight="1">
      <c r="A166" s="28" t="n"/>
      <c r="B166" s="45" t="n"/>
      <c r="C166" s="49" t="n"/>
      <c r="D166" s="49" t="n"/>
      <c r="E166" s="29" t="n"/>
      <c r="F166" s="49" t="n"/>
      <c r="G166" s="28" t="n"/>
      <c r="H166" s="49" t="n"/>
    </row>
    <row r="167" ht="20" customHeight="1">
      <c r="A167" s="28" t="n"/>
      <c r="B167" s="45" t="n"/>
      <c r="C167" s="49" t="n"/>
      <c r="D167" s="49" t="n"/>
      <c r="E167" s="29" t="n"/>
      <c r="F167" s="49" t="n"/>
      <c r="G167" s="28" t="n"/>
      <c r="H167" s="49" t="n"/>
    </row>
    <row r="168" ht="20" customHeight="1">
      <c r="A168" s="28" t="n"/>
      <c r="B168" s="45" t="n"/>
      <c r="C168" s="49" t="n"/>
      <c r="D168" s="49" t="n"/>
      <c r="E168" s="29" t="n"/>
      <c r="F168" s="49" t="n"/>
      <c r="G168" s="28" t="n"/>
      <c r="H168" s="49" t="n"/>
    </row>
    <row r="169" ht="20" customHeight="1">
      <c r="A169" s="28" t="n"/>
      <c r="B169" s="45" t="n"/>
      <c r="C169" s="49" t="n"/>
      <c r="D169" s="49" t="n"/>
      <c r="E169" s="29" t="n"/>
      <c r="F169" s="49" t="n"/>
      <c r="G169" s="28" t="n"/>
      <c r="H169" s="49" t="n"/>
    </row>
    <row r="170" ht="20" customHeight="1">
      <c r="A170" s="28" t="n"/>
      <c r="B170" s="45" t="n"/>
      <c r="C170" s="49" t="n"/>
      <c r="D170" s="49" t="n"/>
      <c r="E170" s="29" t="n"/>
      <c r="F170" s="49" t="n"/>
      <c r="G170" s="28" t="n"/>
      <c r="H170" s="49" t="n"/>
    </row>
    <row r="171" ht="20" customHeight="1">
      <c r="A171" s="28" t="n"/>
      <c r="B171" s="45" t="n"/>
      <c r="C171" s="49" t="n"/>
      <c r="D171" s="49" t="n"/>
      <c r="E171" s="29" t="n"/>
      <c r="F171" s="49" t="n"/>
      <c r="G171" s="28" t="n"/>
      <c r="H171" s="49" t="n"/>
    </row>
    <row r="172" ht="20" customHeight="1">
      <c r="A172" s="28" t="n"/>
      <c r="B172" s="45" t="n"/>
      <c r="C172" s="49" t="n"/>
      <c r="D172" s="49" t="n"/>
      <c r="E172" s="29" t="n"/>
      <c r="F172" s="49" t="n"/>
      <c r="G172" s="28" t="n"/>
      <c r="H172" s="49" t="n"/>
    </row>
    <row r="173" ht="20" customHeight="1">
      <c r="A173" s="28" t="n"/>
      <c r="B173" s="45" t="n"/>
      <c r="C173" s="49" t="n"/>
      <c r="D173" s="49" t="n"/>
      <c r="E173" s="29" t="n"/>
      <c r="F173" s="49" t="n"/>
      <c r="G173" s="28" t="n"/>
      <c r="H173" s="49" t="n"/>
    </row>
    <row r="174" ht="20" customHeight="1">
      <c r="A174" s="28" t="n"/>
      <c r="B174" s="45" t="n"/>
      <c r="C174" s="49" t="n"/>
      <c r="D174" s="49" t="n"/>
      <c r="E174" s="29" t="n"/>
      <c r="F174" s="49" t="n"/>
      <c r="G174" s="28" t="n"/>
      <c r="H174" s="49" t="n"/>
    </row>
    <row r="175" ht="20" customHeight="1">
      <c r="A175" s="28" t="n"/>
      <c r="B175" s="45" t="n"/>
      <c r="C175" s="49" t="n"/>
      <c r="D175" s="49" t="n"/>
      <c r="E175" s="29" t="n"/>
      <c r="F175" s="49" t="n"/>
      <c r="G175" s="28" t="n"/>
      <c r="H175" s="49" t="n"/>
    </row>
    <row r="176" ht="20" customHeight="1">
      <c r="A176" s="28" t="n"/>
      <c r="B176" s="45" t="n"/>
      <c r="C176" s="49" t="n"/>
      <c r="D176" s="49" t="n"/>
      <c r="E176" s="29" t="n"/>
      <c r="F176" s="49" t="n"/>
      <c r="G176" s="28" t="n"/>
      <c r="H176" s="49" t="n"/>
    </row>
    <row r="177" ht="20" customHeight="1">
      <c r="A177" s="28" t="n"/>
      <c r="B177" s="45" t="n"/>
      <c r="C177" s="49" t="n"/>
      <c r="D177" s="49" t="n"/>
      <c r="E177" s="29" t="n"/>
      <c r="F177" s="49" t="n"/>
      <c r="G177" s="28" t="n"/>
      <c r="H177" s="49" t="n"/>
    </row>
    <row r="178" ht="20" customHeight="1">
      <c r="A178" s="28" t="n"/>
      <c r="B178" s="45" t="n"/>
      <c r="C178" s="49" t="n"/>
      <c r="D178" s="49" t="n"/>
      <c r="E178" s="29" t="n"/>
      <c r="F178" s="49" t="n"/>
      <c r="G178" s="28" t="n"/>
      <c r="H178" s="49" t="n"/>
    </row>
    <row r="179" ht="20" customHeight="1">
      <c r="A179" s="28" t="n"/>
      <c r="B179" s="45" t="n"/>
      <c r="C179" s="49" t="n"/>
      <c r="D179" s="49" t="n"/>
      <c r="E179" s="29" t="n"/>
      <c r="F179" s="49" t="n"/>
      <c r="G179" s="28" t="n"/>
      <c r="H179" s="49" t="n"/>
    </row>
    <row r="180" ht="20" customHeight="1">
      <c r="A180" s="28" t="n"/>
      <c r="B180" s="45" t="n"/>
      <c r="C180" s="49" t="n"/>
      <c r="D180" s="49" t="n"/>
      <c r="E180" s="29" t="n"/>
      <c r="F180" s="49" t="n"/>
      <c r="G180" s="28" t="n"/>
      <c r="H180" s="49" t="n"/>
    </row>
    <row r="181" ht="20" customHeight="1">
      <c r="A181" s="28" t="n"/>
      <c r="B181" s="45" t="n"/>
      <c r="C181" s="49" t="n"/>
      <c r="D181" s="49" t="n"/>
      <c r="E181" s="29" t="n"/>
      <c r="F181" s="49" t="n"/>
      <c r="G181" s="28" t="n"/>
      <c r="H181" s="49" t="n"/>
    </row>
    <row r="182" ht="20" customHeight="1">
      <c r="A182" s="28" t="n"/>
      <c r="B182" s="45" t="n"/>
      <c r="C182" s="49" t="n"/>
      <c r="D182" s="49" t="n"/>
      <c r="E182" s="29" t="n"/>
      <c r="F182" s="49" t="n"/>
      <c r="G182" s="28" t="n"/>
      <c r="H182" s="49" t="n"/>
    </row>
    <row r="183" ht="20" customHeight="1">
      <c r="A183" s="28" t="n"/>
      <c r="B183" s="45" t="n"/>
      <c r="C183" s="49" t="n"/>
      <c r="D183" s="49" t="n"/>
      <c r="E183" s="29" t="n"/>
      <c r="F183" s="49" t="n"/>
      <c r="G183" s="28" t="n"/>
      <c r="H183" s="49" t="n"/>
    </row>
    <row r="184" ht="20" customHeight="1">
      <c r="A184" s="28" t="n"/>
      <c r="B184" s="45" t="n"/>
      <c r="C184" s="49" t="n"/>
      <c r="D184" s="49" t="n"/>
      <c r="E184" s="29" t="n"/>
      <c r="F184" s="49" t="n"/>
      <c r="G184" s="28" t="n"/>
      <c r="H184" s="49" t="n"/>
    </row>
    <row r="185" ht="20" customHeight="1">
      <c r="A185" s="28" t="n"/>
      <c r="B185" s="45" t="n"/>
      <c r="C185" s="49" t="n"/>
      <c r="D185" s="49" t="n"/>
      <c r="E185" s="29" t="n"/>
      <c r="F185" s="49" t="n"/>
      <c r="G185" s="28" t="n"/>
      <c r="H185" s="49" t="n"/>
    </row>
    <row r="186" ht="20" customHeight="1">
      <c r="A186" s="28" t="n"/>
      <c r="B186" s="45" t="n"/>
      <c r="C186" s="49" t="n"/>
      <c r="D186" s="49" t="n"/>
      <c r="E186" s="29" t="n"/>
      <c r="F186" s="49" t="n"/>
      <c r="G186" s="28" t="n"/>
      <c r="H186" s="49" t="n"/>
    </row>
    <row r="187" ht="20" customHeight="1">
      <c r="A187" s="28" t="n"/>
      <c r="B187" s="45" t="n"/>
      <c r="C187" s="49" t="n"/>
      <c r="D187" s="49" t="n"/>
      <c r="E187" s="29" t="n"/>
      <c r="F187" s="49" t="n"/>
      <c r="G187" s="28" t="n"/>
      <c r="H187" s="49" t="n"/>
    </row>
    <row r="188" ht="20" customHeight="1">
      <c r="A188" s="28" t="n"/>
      <c r="B188" s="45" t="n"/>
      <c r="C188" s="49" t="n"/>
      <c r="D188" s="49" t="n"/>
      <c r="E188" s="29" t="n"/>
      <c r="F188" s="49" t="n"/>
      <c r="G188" s="28" t="n"/>
      <c r="H188" s="49" t="n"/>
    </row>
    <row r="189" ht="20" customHeight="1">
      <c r="A189" s="28" t="n"/>
      <c r="B189" s="45" t="n"/>
      <c r="C189" s="49" t="n"/>
      <c r="D189" s="49" t="n"/>
      <c r="E189" s="29" t="n"/>
      <c r="F189" s="49" t="n"/>
      <c r="G189" s="28" t="n"/>
      <c r="H189" s="49" t="n"/>
    </row>
    <row r="190" ht="20" customHeight="1">
      <c r="A190" s="28" t="n"/>
      <c r="B190" s="45" t="n"/>
      <c r="C190" s="49" t="n"/>
      <c r="D190" s="49" t="n"/>
      <c r="E190" s="29" t="n"/>
      <c r="F190" s="49" t="n"/>
      <c r="G190" s="28" t="n"/>
      <c r="H190" s="49" t="n"/>
    </row>
    <row r="191" ht="20" customHeight="1">
      <c r="A191" s="28" t="n"/>
      <c r="B191" s="45" t="n"/>
      <c r="C191" s="49" t="n"/>
      <c r="D191" s="49" t="n"/>
      <c r="E191" s="29" t="n"/>
      <c r="F191" s="49" t="n"/>
      <c r="G191" s="28" t="n"/>
      <c r="H191" s="49" t="n"/>
    </row>
    <row r="192" ht="20" customHeight="1">
      <c r="A192" s="28" t="n"/>
      <c r="B192" s="45" t="n"/>
      <c r="C192" s="49" t="n"/>
      <c r="D192" s="49" t="n"/>
      <c r="E192" s="29" t="n"/>
      <c r="F192" s="49" t="n"/>
      <c r="G192" s="28" t="n"/>
      <c r="H192" s="49" t="n"/>
    </row>
    <row r="193" ht="20" customHeight="1">
      <c r="A193" s="28" t="n"/>
      <c r="B193" s="45" t="n"/>
      <c r="C193" s="49" t="n"/>
      <c r="D193" s="49" t="n"/>
      <c r="E193" s="29" t="n"/>
      <c r="F193" s="49" t="n"/>
      <c r="G193" s="28" t="n"/>
      <c r="H193" s="49" t="n"/>
    </row>
    <row r="194" ht="20" customHeight="1">
      <c r="A194" s="28" t="n"/>
      <c r="B194" s="45" t="n"/>
      <c r="C194" s="49" t="n"/>
      <c r="D194" s="49" t="n"/>
      <c r="E194" s="29" t="n"/>
      <c r="F194" s="49" t="n"/>
      <c r="G194" s="28" t="n"/>
      <c r="H194" s="49" t="n"/>
    </row>
    <row r="195" ht="20" customHeight="1">
      <c r="A195" s="28" t="n"/>
      <c r="B195" s="45" t="n"/>
      <c r="C195" s="49" t="n"/>
      <c r="D195" s="49" t="n"/>
      <c r="E195" s="29" t="n"/>
      <c r="F195" s="49" t="n"/>
      <c r="G195" s="28" t="n"/>
      <c r="H195" s="49" t="n"/>
    </row>
    <row r="196" ht="20" customHeight="1">
      <c r="A196" s="28" t="n"/>
      <c r="B196" s="45" t="n"/>
      <c r="C196" s="49" t="n"/>
      <c r="D196" s="49" t="n"/>
      <c r="E196" s="29" t="n"/>
      <c r="F196" s="49" t="n"/>
      <c r="G196" s="28" t="n"/>
      <c r="H196" s="49" t="n"/>
    </row>
    <row r="197" ht="20" customHeight="1">
      <c r="A197" s="28" t="n"/>
      <c r="B197" s="45" t="n"/>
      <c r="C197" s="49" t="n"/>
      <c r="D197" s="49" t="n"/>
      <c r="E197" s="29" t="n"/>
      <c r="F197" s="49" t="n"/>
      <c r="G197" s="28" t="n"/>
      <c r="H197" s="49" t="n"/>
    </row>
    <row r="198" ht="20" customHeight="1">
      <c r="A198" s="28" t="n"/>
      <c r="B198" s="45" t="n"/>
      <c r="C198" s="49" t="n"/>
      <c r="D198" s="49" t="n"/>
      <c r="E198" s="29" t="n"/>
      <c r="F198" s="49" t="n"/>
      <c r="G198" s="28" t="n"/>
      <c r="H198" s="49" t="n"/>
    </row>
    <row r="199" ht="20" customHeight="1">
      <c r="A199" s="28" t="n"/>
      <c r="B199" s="45" t="n"/>
      <c r="C199" s="49" t="n"/>
      <c r="D199" s="49" t="n"/>
      <c r="E199" s="29" t="n"/>
      <c r="F199" s="49" t="n"/>
      <c r="G199" s="28" t="n"/>
      <c r="H199" s="49" t="n"/>
    </row>
    <row r="200" ht="20" customHeight="1">
      <c r="A200" s="28" t="n"/>
      <c r="B200" s="45" t="n"/>
      <c r="C200" s="49" t="n"/>
      <c r="D200" s="49" t="n"/>
      <c r="E200" s="29" t="n"/>
      <c r="F200" s="49" t="n"/>
      <c r="G200" s="28" t="n"/>
      <c r="H200" s="49" t="n"/>
    </row>
    <row r="201" ht="20" customHeight="1">
      <c r="A201" s="28" t="n"/>
      <c r="B201" s="45" t="n"/>
      <c r="C201" s="49" t="n"/>
      <c r="D201" s="49" t="n"/>
      <c r="E201" s="29" t="n"/>
      <c r="F201" s="49" t="n"/>
      <c r="G201" s="28" t="n"/>
      <c r="H201" s="49" t="n"/>
    </row>
    <row r="202" ht="20" customHeight="1">
      <c r="A202" s="28" t="n"/>
      <c r="B202" s="45" t="n"/>
      <c r="C202" s="49" t="n"/>
      <c r="D202" s="49" t="n"/>
      <c r="E202" s="29" t="n"/>
      <c r="F202" s="49" t="n"/>
      <c r="G202" s="28" t="n"/>
      <c r="H202" s="49" t="n"/>
    </row>
    <row r="203" ht="20" customHeight="1">
      <c r="A203" s="28" t="n"/>
      <c r="B203" s="45" t="n"/>
      <c r="C203" s="49" t="n"/>
      <c r="D203" s="49" t="n"/>
      <c r="E203" s="29" t="n"/>
      <c r="F203" s="49" t="n"/>
      <c r="G203" s="28" t="n"/>
      <c r="H203" s="49" t="n"/>
    </row>
    <row r="204" ht="20" customHeight="1">
      <c r="A204" s="28" t="n"/>
      <c r="B204" s="45" t="n"/>
      <c r="C204" s="49" t="n"/>
      <c r="D204" s="49" t="n"/>
      <c r="E204" s="29" t="n"/>
      <c r="F204" s="49" t="n"/>
      <c r="G204" s="28" t="n"/>
      <c r="H204" s="49" t="n"/>
    </row>
    <row r="205" ht="20" customHeight="1">
      <c r="A205" s="28" t="n"/>
      <c r="B205" s="45" t="n"/>
      <c r="C205" s="49" t="n"/>
      <c r="D205" s="49" t="n"/>
      <c r="E205" s="29" t="n"/>
      <c r="F205" s="49" t="n"/>
      <c r="G205" s="28" t="n"/>
      <c r="H205" s="49" t="n"/>
    </row>
    <row r="206" ht="20" customHeight="1">
      <c r="A206" s="28" t="n"/>
      <c r="B206" s="45" t="n"/>
      <c r="C206" s="49" t="n"/>
      <c r="D206" s="49" t="n"/>
      <c r="E206" s="29" t="n"/>
      <c r="F206" s="49" t="n"/>
      <c r="G206" s="28" t="n"/>
      <c r="H206" s="49" t="n"/>
    </row>
    <row r="207" ht="20" customHeight="1">
      <c r="A207" s="28" t="n"/>
      <c r="B207" s="45" t="n"/>
      <c r="C207" s="49" t="n"/>
      <c r="D207" s="49" t="n"/>
      <c r="E207" s="29" t="n"/>
      <c r="F207" s="49" t="n"/>
      <c r="G207" s="28" t="n"/>
      <c r="H207" s="49" t="n"/>
    </row>
    <row r="208" ht="20" customHeight="1">
      <c r="A208" s="28" t="n"/>
      <c r="B208" s="45" t="n"/>
      <c r="C208" s="49" t="n"/>
      <c r="D208" s="49" t="n"/>
      <c r="E208" s="29" t="n"/>
      <c r="F208" s="49" t="n"/>
      <c r="G208" s="28" t="n"/>
      <c r="H208" s="49" t="n"/>
    </row>
    <row r="209" ht="20" customHeight="1">
      <c r="A209" s="28" t="n"/>
      <c r="B209" s="45" t="n"/>
      <c r="C209" s="49" t="n"/>
      <c r="D209" s="49" t="n"/>
      <c r="E209" s="29" t="n"/>
      <c r="F209" s="49" t="n"/>
      <c r="G209" s="28" t="n"/>
      <c r="H209" s="49" t="n"/>
    </row>
    <row r="210" ht="20" customHeight="1">
      <c r="A210" s="28" t="n"/>
      <c r="B210" s="45" t="n"/>
      <c r="C210" s="49" t="n"/>
      <c r="D210" s="49" t="n"/>
      <c r="E210" s="29" t="n"/>
      <c r="F210" s="49" t="n"/>
      <c r="G210" s="28" t="n"/>
      <c r="H210" s="49" t="n"/>
    </row>
    <row r="211" ht="20" customHeight="1">
      <c r="A211" s="28" t="n"/>
      <c r="B211" s="45" t="n"/>
      <c r="C211" s="49" t="n"/>
      <c r="D211" s="49" t="n"/>
      <c r="E211" s="29" t="n"/>
      <c r="F211" s="49" t="n"/>
      <c r="G211" s="28" t="n"/>
      <c r="H211" s="49" t="n"/>
    </row>
    <row r="212" ht="20" customHeight="1">
      <c r="A212" s="28" t="n"/>
      <c r="B212" s="45" t="n"/>
      <c r="C212" s="49" t="n"/>
      <c r="D212" s="49" t="n"/>
      <c r="E212" s="29" t="n"/>
      <c r="F212" s="49" t="n"/>
      <c r="G212" s="28" t="n"/>
      <c r="H212" s="49" t="n"/>
    </row>
    <row r="213" ht="20" customHeight="1">
      <c r="A213" s="28" t="n"/>
      <c r="B213" s="45" t="n"/>
      <c r="C213" s="49" t="n"/>
      <c r="D213" s="49" t="n"/>
      <c r="E213" s="29" t="n"/>
      <c r="F213" s="49" t="n"/>
      <c r="G213" s="28" t="n"/>
      <c r="H213" s="49" t="n"/>
    </row>
    <row r="214" ht="20" customHeight="1">
      <c r="A214" s="28" t="n"/>
      <c r="B214" s="45" t="n"/>
      <c r="C214" s="49" t="n"/>
      <c r="D214" s="49" t="n"/>
      <c r="E214" s="29" t="n"/>
      <c r="F214" s="49" t="n"/>
      <c r="G214" s="28" t="n"/>
      <c r="H214" s="49" t="n"/>
    </row>
    <row r="215" ht="20" customHeight="1">
      <c r="A215" s="28" t="n"/>
      <c r="B215" s="45" t="n"/>
      <c r="C215" s="49" t="n"/>
      <c r="D215" s="49" t="n"/>
      <c r="E215" s="29" t="n"/>
      <c r="F215" s="49" t="n"/>
      <c r="G215" s="28" t="n"/>
      <c r="H215" s="49" t="n"/>
    </row>
    <row r="216" ht="20" customHeight="1">
      <c r="A216" s="28" t="n"/>
      <c r="B216" s="45" t="n"/>
      <c r="C216" s="49" t="n"/>
      <c r="D216" s="49" t="n"/>
      <c r="E216" s="29" t="n"/>
      <c r="F216" s="49" t="n"/>
      <c r="G216" s="28" t="n"/>
      <c r="H216" s="49" t="n"/>
    </row>
    <row r="217" ht="20" customHeight="1">
      <c r="A217" s="28" t="n"/>
      <c r="B217" s="45" t="n"/>
      <c r="C217" s="49" t="n"/>
      <c r="D217" s="49" t="n"/>
      <c r="E217" s="29" t="n"/>
      <c r="F217" s="49" t="n"/>
      <c r="G217" s="28" t="n"/>
      <c r="H217" s="49" t="n"/>
    </row>
    <row r="218" ht="20" customHeight="1">
      <c r="A218" s="28" t="n"/>
      <c r="B218" s="45" t="n"/>
      <c r="C218" s="49" t="n"/>
      <c r="D218" s="49" t="n"/>
      <c r="E218" s="29" t="n"/>
      <c r="F218" s="49" t="n"/>
      <c r="G218" s="28" t="n"/>
      <c r="H218" s="49" t="n"/>
    </row>
    <row r="219" ht="20" customHeight="1">
      <c r="A219" s="28" t="n"/>
      <c r="B219" s="45" t="n"/>
      <c r="C219" s="49" t="n"/>
      <c r="D219" s="49" t="n"/>
      <c r="E219" s="29" t="n"/>
      <c r="F219" s="49" t="n"/>
      <c r="G219" s="28" t="n"/>
      <c r="H219" s="49" t="n"/>
    </row>
    <row r="220" ht="10" customHeight="1"/>
    <row r="221" ht="32" customHeight="1">
      <c r="A221" s="37" t="inlineStr">
        <is>
          <t>TOTAL INCOME</t>
        </is>
      </c>
      <c r="E221" s="38">
        <f>SUMIF(B5:B219,"Income",E5:E219)</f>
        <v/>
      </c>
    </row>
    <row r="222" ht="32" customHeight="1">
      <c r="A222" s="50" t="inlineStr">
        <is>
          <t>TOTAL EXPENSES</t>
        </is>
      </c>
      <c r="E222" s="51">
        <f>SUMIF(B5:B219,"Expense",E5:E219)</f>
        <v/>
      </c>
    </row>
    <row r="223" ht="38" customHeight="1">
      <c r="A223" s="33" t="inlineStr">
        <is>
          <t>NET BALANCE  (Income – Expenses)</t>
        </is>
      </c>
      <c r="E223" s="52">
        <f>E221-E222</f>
        <v/>
      </c>
    </row>
  </sheetData>
  <mergeCells count="6">
    <mergeCell ref="A2:H2"/>
    <mergeCell ref="A223:D223"/>
    <mergeCell ref="A1:H1"/>
    <mergeCell ref="A221:D221"/>
    <mergeCell ref="A222:D222"/>
    <mergeCell ref="A220:H22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4A261"/>
    <outlinePr summaryBelow="1" summaryRight="1"/>
    <pageSetUpPr fitToPage="1"/>
  </sheetPr>
  <dimension ref="A1:G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17" customWidth="1" min="3" max="3"/>
    <col width="17" customWidth="1" min="4" max="4"/>
    <col width="16" customWidth="1" min="5" max="5"/>
    <col width="18" customWidth="1" min="6" max="6"/>
    <col width="3" customWidth="1" min="7" max="7"/>
  </cols>
  <sheetData>
    <row r="1" ht="46" customHeight="1">
      <c r="A1" s="53" t="inlineStr">
        <is>
          <t>FINANCIAL DASHBOARD — 2026</t>
        </is>
      </c>
    </row>
    <row r="2" ht="22" customHeight="1">
      <c r="A2" s="24" t="inlineStr">
        <is>
          <t>Complete financial overview — all figures pulled automatically from Monthly Tracker</t>
        </is>
      </c>
    </row>
    <row r="3" ht="14" customHeight="1"/>
    <row r="4" ht="26" customHeight="1">
      <c r="B4" s="54" t="inlineStr">
        <is>
          <t>💰 TOTAL INCOME</t>
        </is>
      </c>
      <c r="C4" s="55" t="inlineStr">
        <is>
          <t>💸 TOTAL EXPENSES</t>
        </is>
      </c>
      <c r="D4" s="56" t="inlineStr">
        <is>
          <t>📊 NET BALANCE</t>
        </is>
      </c>
      <c r="E4" s="57" t="inlineStr">
        <is>
          <t>🎯 SAVINGS RATE</t>
        </is>
      </c>
    </row>
    <row r="5" ht="42" customHeight="1">
      <c r="B5" s="58">
        <f>'Monthly Tracker'!E221</f>
        <v/>
      </c>
      <c r="C5" s="59">
        <f>'Monthly Tracker'!E222</f>
        <v/>
      </c>
      <c r="D5" s="60">
        <f>'Monthly Tracker'!E221-'Monthly Tracker'!E222</f>
        <v/>
      </c>
      <c r="E5" s="61">
        <f>IF('Monthly Tracker'!E221&gt;0,('Monthly Tracker'!E221-'Monthly Tracker'!E222)/'Monthly Tracker'!E221,0)</f>
        <v/>
      </c>
    </row>
    <row r="6" ht="18" customHeight="1">
      <c r="B6" s="62" t="inlineStr">
        <is>
          <t>↑ auto-calculated</t>
        </is>
      </c>
      <c r="C6" s="62" t="inlineStr">
        <is>
          <t>↑ auto-calculated</t>
        </is>
      </c>
      <c r="D6" s="62" t="inlineStr">
        <is>
          <t>↑ auto-calculated</t>
        </is>
      </c>
      <c r="E6" s="62" t="inlineStr">
        <is>
          <t>↑ auto-calculated</t>
        </is>
      </c>
    </row>
    <row r="7" ht="14" customHeight="1"/>
    <row r="8" ht="32" customHeight="1">
      <c r="A8" s="63" t="inlineStr">
        <is>
          <t>BUDGET VS ACTUAL — Current Month</t>
        </is>
      </c>
    </row>
    <row r="9" ht="26" customHeight="1">
      <c r="B9" s="64" t="inlineStr">
        <is>
          <t>Category</t>
        </is>
      </c>
      <c r="C9" s="64" t="inlineStr">
        <is>
          <t>Budget Target</t>
        </is>
      </c>
      <c r="D9" s="64" t="inlineStr">
        <is>
          <t>Actual Spent</t>
        </is>
      </c>
      <c r="E9" s="64" t="inlineStr">
        <is>
          <t>Variance</t>
        </is>
      </c>
      <c r="F9" s="64" t="inlineStr">
        <is>
          <t>Status</t>
        </is>
      </c>
    </row>
    <row r="10" ht="24" customHeight="1">
      <c r="B10" s="65" t="inlineStr">
        <is>
          <t>Housing</t>
        </is>
      </c>
      <c r="C10" s="66" t="n">
        <v>1500</v>
      </c>
      <c r="D10" s="66">
        <f>SUMIFS('Monthly Tracker'!E5:E219,'Monthly Tracker'!B5:B219,"Expense",'Monthly Tracker'!C5:C219,"Housing")</f>
        <v/>
      </c>
      <c r="E10" s="66">
        <f>C10-D10</f>
        <v/>
      </c>
      <c r="F10" s="67">
        <f>IF(D10&lt;=C10,"✓ Under Budget","✗ Over Budget")</f>
        <v/>
      </c>
    </row>
    <row r="11" ht="24" customHeight="1">
      <c r="B11" s="68" t="inlineStr">
        <is>
          <t>Groceries</t>
        </is>
      </c>
      <c r="C11" s="69" t="n">
        <v>400</v>
      </c>
      <c r="D11" s="69">
        <f>SUMIFS('Monthly Tracker'!E5:E219,'Monthly Tracker'!B5:B219,"Expense",'Monthly Tracker'!C5:C219,"Groceries")</f>
        <v/>
      </c>
      <c r="E11" s="69">
        <f>C11-D11</f>
        <v/>
      </c>
      <c r="F11" s="70">
        <f>IF(D11&lt;=C11,"✓ Under Budget","✗ Over Budget")</f>
        <v/>
      </c>
    </row>
    <row r="12" ht="24" customHeight="1">
      <c r="B12" s="65" t="inlineStr">
        <is>
          <t>Transportation</t>
        </is>
      </c>
      <c r="C12" s="66" t="n">
        <v>300</v>
      </c>
      <c r="D12" s="66">
        <f>SUMIFS('Monthly Tracker'!E5:E219,'Monthly Tracker'!B5:B219,"Expense",'Monthly Tracker'!C5:C219,"Transportation")</f>
        <v/>
      </c>
      <c r="E12" s="66">
        <f>C12-D12</f>
        <v/>
      </c>
      <c r="F12" s="67">
        <f>IF(D12&lt;=C12,"✓ Under Budget","✗ Over Budget")</f>
        <v/>
      </c>
    </row>
    <row r="13" ht="24" customHeight="1">
      <c r="B13" s="68" t="inlineStr">
        <is>
          <t>Utilities</t>
        </is>
      </c>
      <c r="C13" s="69" t="n">
        <v>150</v>
      </c>
      <c r="D13" s="69">
        <f>SUMIFS('Monthly Tracker'!E5:E219,'Monthly Tracker'!B5:B219,"Expense",'Monthly Tracker'!C5:C219,"Utilities")</f>
        <v/>
      </c>
      <c r="E13" s="69">
        <f>C13-D13</f>
        <v/>
      </c>
      <c r="F13" s="70">
        <f>IF(D13&lt;=C13,"✓ Under Budget","✗ Over Budget")</f>
        <v/>
      </c>
    </row>
    <row r="14" ht="24" customHeight="1">
      <c r="B14" s="65" t="inlineStr">
        <is>
          <t>Dining Out</t>
        </is>
      </c>
      <c r="C14" s="66" t="n">
        <v>200</v>
      </c>
      <c r="D14" s="66">
        <f>SUMIFS('Monthly Tracker'!E5:E219,'Monthly Tracker'!B5:B219,"Expense",'Monthly Tracker'!C5:C219,"Dining Out")</f>
        <v/>
      </c>
      <c r="E14" s="66">
        <f>C14-D14</f>
        <v/>
      </c>
      <c r="F14" s="67">
        <f>IF(D14&lt;=C14,"✓ Under Budget","✗ Over Budget")</f>
        <v/>
      </c>
    </row>
    <row r="15" ht="24" customHeight="1">
      <c r="B15" s="68" t="inlineStr">
        <is>
          <t>Entertainment</t>
        </is>
      </c>
      <c r="C15" s="69" t="n">
        <v>100</v>
      </c>
      <c r="D15" s="69">
        <f>SUMIFS('Monthly Tracker'!E5:E219,'Monthly Tracker'!B5:B219,"Expense",'Monthly Tracker'!C5:C219,"Entertainment")</f>
        <v/>
      </c>
      <c r="E15" s="69">
        <f>C15-D15</f>
        <v/>
      </c>
      <c r="F15" s="70">
        <f>IF(D15&lt;=C15,"✓ Under Budget","✗ Over Budget")</f>
        <v/>
      </c>
    </row>
    <row r="16" ht="24" customHeight="1">
      <c r="B16" s="65" t="inlineStr">
        <is>
          <t>Shopping</t>
        </is>
      </c>
      <c r="C16" s="66" t="n">
        <v>150</v>
      </c>
      <c r="D16" s="66">
        <f>SUMIFS('Monthly Tracker'!E5:E219,'Monthly Tracker'!B5:B219,"Expense",'Monthly Tracker'!C5:C219,"Shopping")</f>
        <v/>
      </c>
      <c r="E16" s="66">
        <f>C16-D16</f>
        <v/>
      </c>
      <c r="F16" s="67">
        <f>IF(D16&lt;=C16,"✓ Under Budget","✗ Over Budget")</f>
        <v/>
      </c>
    </row>
    <row r="17" ht="24" customHeight="1">
      <c r="B17" s="68" t="inlineStr">
        <is>
          <t>Savings</t>
        </is>
      </c>
      <c r="C17" s="69" t="n">
        <v>300</v>
      </c>
      <c r="D17" s="69">
        <f>SUMIFS('Monthly Tracker'!E5:E219,'Monthly Tracker'!B5:B219,"Expense",'Monthly Tracker'!C5:C219,"Emergency Fund")</f>
        <v/>
      </c>
      <c r="E17" s="69">
        <f>C17-D17</f>
        <v/>
      </c>
      <c r="F17" s="70">
        <f>IF(D17&lt;=C17,"✓ Under Budget","✗ Over Budget")</f>
        <v/>
      </c>
    </row>
    <row r="18" ht="24" customHeight="1">
      <c r="B18" s="65" t="inlineStr">
        <is>
          <t>Debt Payment</t>
        </is>
      </c>
      <c r="C18" s="66" t="n">
        <v>350</v>
      </c>
      <c r="D18" s="66">
        <f>SUMIFS('Monthly Tracker'!E5:E219,'Monthly Tracker'!B5:B219,"Expense",'Monthly Tracker'!C5:C219,"Debt Payment")</f>
        <v/>
      </c>
      <c r="E18" s="66">
        <f>C18-D18</f>
        <v/>
      </c>
      <c r="F18" s="67">
        <f>IF(D18&lt;=C18,"✓ Under Budget","✗ Over Budget")</f>
        <v/>
      </c>
    </row>
    <row r="19" ht="24" customHeight="1">
      <c r="B19" s="68" t="inlineStr">
        <is>
          <t>Healthcare</t>
        </is>
      </c>
      <c r="C19" s="69" t="n">
        <v>100</v>
      </c>
      <c r="D19" s="69">
        <f>SUMIFS('Monthly Tracker'!E5:E219,'Monthly Tracker'!B5:B219,"Expense",'Monthly Tracker'!C5:C219,"Healthcare")</f>
        <v/>
      </c>
      <c r="E19" s="69">
        <f>C19-D19</f>
        <v/>
      </c>
      <c r="F19" s="70">
        <f>IF(D19&lt;=C19,"✓ Under Budget","✗ Over Budget")</f>
        <v/>
      </c>
    </row>
    <row r="20" ht="30" customHeight="1">
      <c r="B20" s="71" t="inlineStr">
        <is>
          <t>TOTALS</t>
        </is>
      </c>
      <c r="C20" s="72">
        <f>SUM(C10:C19)</f>
        <v/>
      </c>
      <c r="D20" s="72">
        <f>SUM(D10:D19)</f>
        <v/>
      </c>
      <c r="E20" s="72">
        <f>SUM(E10:E19)</f>
        <v/>
      </c>
    </row>
    <row r="21" ht="14" customHeight="1"/>
    <row r="22" ht="32" customHeight="1">
      <c r="A22" s="63" t="inlineStr">
        <is>
          <t>50/30/20 BUDGET METHOD ANALYSIS</t>
        </is>
      </c>
    </row>
    <row r="23" ht="26" customHeight="1">
      <c r="B23" s="73" t="inlineStr">
        <is>
          <t>Category</t>
        </is>
      </c>
      <c r="C23" s="73" t="inlineStr">
        <is>
          <t>Rule %</t>
        </is>
      </c>
      <c r="D23" s="73" t="inlineStr">
        <is>
          <t>Target Amount</t>
        </is>
      </c>
      <c r="E23" s="73" t="inlineStr">
        <is>
          <t>Actual Amount</t>
        </is>
      </c>
      <c r="F23" s="73" t="inlineStr">
        <is>
          <t>Status</t>
        </is>
      </c>
    </row>
    <row r="24" ht="30" customHeight="1">
      <c r="B24" s="74" t="inlineStr">
        <is>
          <t>Needs</t>
        </is>
      </c>
      <c r="C24" s="75" t="n">
        <v>0.5</v>
      </c>
      <c r="D24" s="66">
        <f>C24*'Monthly Tracker'!E221</f>
        <v/>
      </c>
      <c r="E24" s="66">
        <f>SUMPRODUCT((ISNUMBER(MATCH('Monthly Tracker'!C5:C219,{"Housing","Utilities","Groceries","Transportation","Insurance","Healthcare","Debt Payment"},0)))*('Monthly Tracker'!B5:B219="Expense")*'Monthly Tracker'!E5:E219)</f>
        <v/>
      </c>
      <c r="F24" s="67">
        <f>IF(E24&lt;=D24,"✓ On Track","✗ Over Limit")</f>
        <v/>
      </c>
    </row>
    <row r="25" ht="30" customHeight="1">
      <c r="B25" s="76" t="inlineStr">
        <is>
          <t>Wants</t>
        </is>
      </c>
      <c r="C25" s="77" t="n">
        <v>0.3</v>
      </c>
      <c r="D25" s="69">
        <f>C25*'Monthly Tracker'!E221</f>
        <v/>
      </c>
      <c r="E25" s="69">
        <f>SUMPRODUCT((ISNUMBER(MATCH('Monthly Tracker'!C5:C219,{"Dining Out","Entertainment","Shopping","Travel","Hobbies","Subscriptions","Education","Gifts/Donations"},0)))*('Monthly Tracker'!B5:B219="Expense")*'Monthly Tracker'!E5:E219)</f>
        <v/>
      </c>
      <c r="F25" s="70">
        <f>IF(E25&lt;=D25,"✓ On Track","✗ Over Limit")</f>
        <v/>
      </c>
    </row>
    <row r="26" ht="30" customHeight="1">
      <c r="B26" s="78" t="inlineStr">
        <is>
          <t>Savings</t>
        </is>
      </c>
      <c r="C26" s="79" t="n">
        <v>0.2</v>
      </c>
      <c r="D26" s="66">
        <f>C26*'Monthly Tracker'!E221</f>
        <v/>
      </c>
      <c r="E26" s="66">
        <f>SUMPRODUCT((ISNUMBER(MATCH('Monthly Tracker'!C5:C219,{"Emergency Fund","Retirement","Investments"},0)))*('Monthly Tracker'!B5:B219="Expense")*'Monthly Tracker'!E5:E219)</f>
        <v/>
      </c>
      <c r="F26" s="67">
        <f>IF(E26&lt;=D26,"✓ On Track","✗ Over Limit")</f>
        <v/>
      </c>
    </row>
  </sheetData>
  <mergeCells count="4">
    <mergeCell ref="A8:G8"/>
    <mergeCell ref="A2:G2"/>
    <mergeCell ref="A22:G22"/>
    <mergeCell ref="A1:G1"/>
  </mergeCells>
  <conditionalFormatting sqref="F10:F19">
    <cfRule type="expression" priority="1" dxfId="0">
      <formula>F10="✓ Under Budget"</formula>
    </cfRule>
    <cfRule type="expression" priority="2" dxfId="1">
      <formula>F10="✗ Over Budget"</formula>
    </cfRule>
  </conditionalFormatting>
  <conditionalFormatting sqref="F24:F26">
    <cfRule type="expression" priority="3" dxfId="0">
      <formula>F24="✓ On Track"</formula>
    </cfRule>
    <cfRule type="expression" priority="4" dxfId="1">
      <formula>F24="✗ Over Limit"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9C46A"/>
    <outlinePr summaryBelow="1" summaryRight="1"/>
    <pageSetUpPr fitToPage="1"/>
  </sheetPr>
  <dimension ref="A1:H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7" customWidth="1" min="3" max="3"/>
    <col width="17" customWidth="1" min="4" max="4"/>
    <col width="15" customWidth="1" min="5" max="5"/>
    <col width="14" customWidth="1" min="6" max="6"/>
    <col width="32" customWidth="1" min="7" max="7"/>
    <col width="3" customWidth="1" min="8" max="8"/>
  </cols>
  <sheetData>
    <row r="1" ht="42" customHeight="1">
      <c r="A1" s="80" t="inlineStr">
        <is>
          <t>SAVINGS GOALS TRACKER — 2026</t>
        </is>
      </c>
    </row>
    <row r="2" ht="22" customHeight="1">
      <c r="A2" s="81" t="inlineStr">
        <is>
          <t>Track your progress toward every financial goal. Update 'Current Saved' monthly to watch your progress bars grow!</t>
        </is>
      </c>
    </row>
    <row r="3" ht="12" customHeight="1"/>
    <row r="4" ht="30" customHeight="1">
      <c r="B4" s="26" t="inlineStr">
        <is>
          <t>Goal Name</t>
        </is>
      </c>
      <c r="C4" s="26" t="inlineStr">
        <is>
          <t>Target Amount</t>
        </is>
      </c>
      <c r="D4" s="26" t="inlineStr">
        <is>
          <t>Current Saved</t>
        </is>
      </c>
      <c r="E4" s="26" t="inlineStr">
        <is>
          <t>Remaining</t>
        </is>
      </c>
      <c r="F4" s="26" t="inlineStr">
        <is>
          <t>Progress %</t>
        </is>
      </c>
      <c r="G4" s="26" t="inlineStr">
        <is>
          <t>Visual Progress  ────────────────────</t>
        </is>
      </c>
    </row>
    <row r="5" ht="30" customHeight="1">
      <c r="B5" s="82" t="inlineStr">
        <is>
          <t>🏦  Emergency Fund</t>
        </is>
      </c>
      <c r="C5" s="29" t="n">
        <v>10000</v>
      </c>
      <c r="D5" s="29" t="n">
        <v>3500</v>
      </c>
      <c r="E5" s="83">
        <f>C5-D5</f>
        <v/>
      </c>
      <c r="F5" s="84">
        <f>IF(C5&gt;0,MIN(D5/C5,1),0)</f>
        <v/>
      </c>
      <c r="G5" s="85">
        <f>REPT("█",ROUND(F5*20,0))&amp;REPT("░",20-ROUND(F5*20,0))</f>
        <v/>
      </c>
    </row>
    <row r="6" ht="30" customHeight="1">
      <c r="B6" s="86" t="inlineStr">
        <is>
          <t>✈️  Vacation Fund</t>
        </is>
      </c>
      <c r="C6" s="29" t="n">
        <v>3000</v>
      </c>
      <c r="D6" s="29" t="n">
        <v>1200</v>
      </c>
      <c r="E6" s="87">
        <f>C6-D6</f>
        <v/>
      </c>
      <c r="F6" s="88">
        <f>IF(C6&gt;0,MIN(D6/C6,1),0)</f>
        <v/>
      </c>
      <c r="G6" s="89">
        <f>REPT("█",ROUND(F6*20,0))&amp;REPT("░",20-ROUND(F6*20,0))</f>
        <v/>
      </c>
    </row>
    <row r="7" ht="30" customHeight="1">
      <c r="B7" s="90" t="inlineStr">
        <is>
          <t>🚗  New Car</t>
        </is>
      </c>
      <c r="C7" s="29" t="n">
        <v>15000</v>
      </c>
      <c r="D7" s="29" t="n">
        <v>4500</v>
      </c>
      <c r="E7" s="83">
        <f>C7-D7</f>
        <v/>
      </c>
      <c r="F7" s="84">
        <f>IF(C7&gt;0,MIN(D7/C7,1),0)</f>
        <v/>
      </c>
      <c r="G7" s="91">
        <f>REPT("█",ROUND(F7*20,0))&amp;REPT("░",20-ROUND(F7*20,0))</f>
        <v/>
      </c>
    </row>
    <row r="8" ht="30" customHeight="1">
      <c r="B8" s="92" t="inlineStr">
        <is>
          <t>🏠  Home Down Payment</t>
        </is>
      </c>
      <c r="C8" s="29" t="n">
        <v>50000</v>
      </c>
      <c r="D8" s="29" t="n">
        <v>8000</v>
      </c>
      <c r="E8" s="87">
        <f>C8-D8</f>
        <v/>
      </c>
      <c r="F8" s="88">
        <f>IF(C8&gt;0,MIN(D8/C8,1),0)</f>
        <v/>
      </c>
      <c r="G8" s="93">
        <f>REPT("█",ROUND(F8*20,0))&amp;REPT("░",20-ROUND(F8*20,0))</f>
        <v/>
      </c>
    </row>
    <row r="9" ht="30" customHeight="1">
      <c r="B9" s="94" t="inlineStr">
        <is>
          <t>💍  Wedding</t>
        </is>
      </c>
      <c r="C9" s="29" t="n">
        <v>20000</v>
      </c>
      <c r="D9" s="29" t="n">
        <v>5000</v>
      </c>
      <c r="E9" s="83">
        <f>C9-D9</f>
        <v/>
      </c>
      <c r="F9" s="84">
        <f>IF(C9&gt;0,MIN(D9/C9,1),0)</f>
        <v/>
      </c>
      <c r="G9" s="95">
        <f>REPT("█",ROUND(F9*20,0))&amp;REPT("░",20-ROUND(F9*20,0))</f>
        <v/>
      </c>
    </row>
    <row r="10" ht="30" customHeight="1">
      <c r="B10" s="96" t="inlineStr">
        <is>
          <t>🎓  Education</t>
        </is>
      </c>
      <c r="C10" s="29" t="n">
        <v>8000</v>
      </c>
      <c r="D10" s="29" t="n">
        <v>2400</v>
      </c>
      <c r="E10" s="87">
        <f>C10-D10</f>
        <v/>
      </c>
      <c r="F10" s="88">
        <f>IF(C10&gt;0,MIN(D10/C10,1),0)</f>
        <v/>
      </c>
      <c r="G10" s="97">
        <f>REPT("█",ROUND(F10*20,0))&amp;REPT("░",20-ROUND(F10*20,0))</f>
        <v/>
      </c>
    </row>
    <row r="11" ht="28" customHeight="1">
      <c r="B11" s="98" t="inlineStr">
        <is>
          <t>Enter goal name…</t>
        </is>
      </c>
      <c r="C11" s="29" t="n"/>
      <c r="D11" s="29" t="n"/>
      <c r="E11" s="99">
        <f>IF(AND(C11&lt;&gt;"",C11&gt;0),C11-D11,"")</f>
        <v/>
      </c>
      <c r="F11" s="100">
        <f>IF(AND(C11&lt;&gt;"",C11&gt;0),MIN(D11/C11,1),"")</f>
        <v/>
      </c>
      <c r="G11" s="101">
        <f>IF(AND(C11&lt;&gt;"",C11&gt;0),REPT("█",ROUND(F11*20,0))&amp;REPT("░",20-ROUND(F11*20,0)),"")</f>
        <v/>
      </c>
    </row>
    <row r="12" ht="28" customHeight="1">
      <c r="B12" s="98" t="inlineStr">
        <is>
          <t>Enter goal name…</t>
        </is>
      </c>
      <c r="C12" s="29" t="n"/>
      <c r="D12" s="29" t="n"/>
      <c r="E12" s="99">
        <f>IF(AND(C12&lt;&gt;"",C12&gt;0),C12-D12,"")</f>
        <v/>
      </c>
      <c r="F12" s="100">
        <f>IF(AND(C12&lt;&gt;"",C12&gt;0),MIN(D12/C12,1),"")</f>
        <v/>
      </c>
      <c r="G12" s="101">
        <f>IF(AND(C12&lt;&gt;"",C12&gt;0),REPT("█",ROUND(F12*20,0))&amp;REPT("░",20-ROUND(F12*20,0)),"")</f>
        <v/>
      </c>
    </row>
    <row r="13" ht="28" customHeight="1">
      <c r="B13" s="98" t="inlineStr">
        <is>
          <t>Enter goal name…</t>
        </is>
      </c>
      <c r="C13" s="29" t="n"/>
      <c r="D13" s="29" t="n"/>
      <c r="E13" s="99">
        <f>IF(AND(C13&lt;&gt;"",C13&gt;0),C13-D13,"")</f>
        <v/>
      </c>
      <c r="F13" s="100">
        <f>IF(AND(C13&lt;&gt;"",C13&gt;0),MIN(D13/C13,1),"")</f>
        <v/>
      </c>
      <c r="G13" s="101">
        <f>IF(AND(C13&lt;&gt;"",C13&gt;0),REPT("█",ROUND(F13*20,0))&amp;REPT("░",20-ROUND(F13*20,0)),"")</f>
        <v/>
      </c>
    </row>
    <row r="14" ht="28" customHeight="1">
      <c r="B14" s="98" t="inlineStr">
        <is>
          <t>Enter goal name…</t>
        </is>
      </c>
      <c r="C14" s="29" t="n"/>
      <c r="D14" s="29" t="n"/>
      <c r="E14" s="99">
        <f>IF(AND(C14&lt;&gt;"",C14&gt;0),C14-D14,"")</f>
        <v/>
      </c>
      <c r="F14" s="100">
        <f>IF(AND(C14&lt;&gt;"",C14&gt;0),MIN(D14/C14,1),"")</f>
        <v/>
      </c>
      <c r="G14" s="101">
        <f>IF(AND(C14&lt;&gt;"",C14&gt;0),REPT("█",ROUND(F14*20,0))&amp;REPT("░",20-ROUND(F14*20,0)),"")</f>
        <v/>
      </c>
    </row>
    <row r="15" ht="28" customHeight="1">
      <c r="B15" s="98" t="inlineStr">
        <is>
          <t>Enter goal name…</t>
        </is>
      </c>
      <c r="C15" s="29" t="n"/>
      <c r="D15" s="29" t="n"/>
      <c r="E15" s="99">
        <f>IF(AND(C15&lt;&gt;"",C15&gt;0),C15-D15,"")</f>
        <v/>
      </c>
      <c r="F15" s="100">
        <f>IF(AND(C15&lt;&gt;"",C15&gt;0),MIN(D15/C15,1),"")</f>
        <v/>
      </c>
      <c r="G15" s="101">
        <f>IF(AND(C15&lt;&gt;"",C15&gt;0),REPT("█",ROUND(F15*20,0))&amp;REPT("░",20-ROUND(F15*20,0)),"")</f>
        <v/>
      </c>
    </row>
    <row r="16" ht="28" customHeight="1">
      <c r="B16" s="98" t="inlineStr">
        <is>
          <t>Enter goal name…</t>
        </is>
      </c>
      <c r="C16" s="29" t="n"/>
      <c r="D16" s="29" t="n"/>
      <c r="E16" s="99">
        <f>IF(AND(C16&lt;&gt;"",C16&gt;0),C16-D16,"")</f>
        <v/>
      </c>
      <c r="F16" s="100">
        <f>IF(AND(C16&lt;&gt;"",C16&gt;0),MIN(D16/C16,1),"")</f>
        <v/>
      </c>
      <c r="G16" s="101">
        <f>IF(AND(C16&lt;&gt;"",C16&gt;0),REPT("█",ROUND(F16*20,0))&amp;REPT("░",20-ROUND(F16*20,0)),"")</f>
        <v/>
      </c>
    </row>
    <row r="17" ht="28" customHeight="1">
      <c r="B17" s="98" t="inlineStr">
        <is>
          <t>Enter goal name…</t>
        </is>
      </c>
      <c r="C17" s="29" t="n"/>
      <c r="D17" s="29" t="n"/>
      <c r="E17" s="99">
        <f>IF(AND(C17&lt;&gt;"",C17&gt;0),C17-D17,"")</f>
        <v/>
      </c>
      <c r="F17" s="100">
        <f>IF(AND(C17&lt;&gt;"",C17&gt;0),MIN(D17/C17,1),"")</f>
        <v/>
      </c>
      <c r="G17" s="101">
        <f>IF(AND(C17&lt;&gt;"",C17&gt;0),REPT("█",ROUND(F17*20,0))&amp;REPT("░",20-ROUND(F17*20,0)),"")</f>
        <v/>
      </c>
    </row>
    <row r="18" ht="28" customHeight="1">
      <c r="B18" s="98" t="inlineStr">
        <is>
          <t>Enter goal name…</t>
        </is>
      </c>
      <c r="C18" s="29" t="n"/>
      <c r="D18" s="29" t="n"/>
      <c r="E18" s="99">
        <f>IF(AND(C18&lt;&gt;"",C18&gt;0),C18-D18,"")</f>
        <v/>
      </c>
      <c r="F18" s="100">
        <f>IF(AND(C18&lt;&gt;"",C18&gt;0),MIN(D18/C18,1),"")</f>
        <v/>
      </c>
      <c r="G18" s="101">
        <f>IF(AND(C18&lt;&gt;"",C18&gt;0),REPT("█",ROUND(F18*20,0))&amp;REPT("░",20-ROUND(F18*20,0)),"")</f>
        <v/>
      </c>
    </row>
    <row r="19" ht="10" customHeight="1"/>
    <row r="20" ht="30" customHeight="1">
      <c r="B20" s="102" t="inlineStr">
        <is>
          <t>GRAND TOTALS — All Goals</t>
        </is>
      </c>
      <c r="C20" s="103">
        <f>SUMIF(C5:C18,"&lt;&gt;",C5:C18)</f>
        <v/>
      </c>
      <c r="D20" s="103">
        <f>SUMIF(D5:D18,"&lt;&gt;",D5:D18)</f>
        <v/>
      </c>
      <c r="E20" s="103">
        <f>SUMIF(E5:E18,"&lt;&gt;",E5:E18)</f>
        <v/>
      </c>
    </row>
  </sheetData>
  <mergeCells count="2">
    <mergeCell ref="A2:H2"/>
    <mergeCell ref="A1:H1"/>
  </mergeCells>
  <conditionalFormatting sqref="F5:F10">
    <cfRule type="colorScale" priority="1">
      <colorScale>
        <cfvo type="num" val="0"/>
        <cfvo type="num" val="0.5"/>
        <cfvo type="num" val="1"/>
        <color rgb="00E76F51"/>
        <color rgb="00E9C46A"/>
        <color rgb="002A9D8F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6F51"/>
    <outlinePr summaryBelow="1" summaryRight="1"/>
    <pageSetUpPr fitToPage="1"/>
  </sheetPr>
  <dimension ref="A1:J12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3" customWidth="1" min="4" max="4"/>
    <col width="14" customWidth="1" min="5" max="5"/>
    <col width="14" customWidth="1" min="6" max="6"/>
    <col width="16" customWidth="1" min="7" max="7"/>
    <col width="17" customWidth="1" min="8" max="8"/>
    <col width="14" customWidth="1" min="9" max="9"/>
    <col width="3" customWidth="1" min="10" max="10"/>
  </cols>
  <sheetData>
    <row r="1" ht="42" customHeight="1">
      <c r="A1" s="104" t="inlineStr">
        <is>
          <t>DEBT PAYOFF TRACKER — 2026</t>
        </is>
      </c>
    </row>
    <row r="2" ht="22" customHeight="1">
      <c r="A2" s="105" t="inlineStr">
        <is>
          <t>Track all debts, interest rates &amp; payoff timelines. Yellow cells accept your input.</t>
        </is>
      </c>
    </row>
    <row r="3" ht="12" customHeight="1"/>
    <row r="4" ht="38" customHeight="1">
      <c r="B4" s="106" t="inlineStr">
        <is>
          <t>Debt Name</t>
        </is>
      </c>
      <c r="C4" s="106" t="inlineStr">
        <is>
          <t>Original Balance</t>
        </is>
      </c>
      <c r="D4" s="106" t="inlineStr">
        <is>
          <t>Interest Rate</t>
        </is>
      </c>
      <c r="E4" s="106" t="inlineStr">
        <is>
          <t>Min. Payment</t>
        </is>
      </c>
      <c r="F4" s="106" t="inlineStr">
        <is>
          <t>Extra Payment</t>
        </is>
      </c>
      <c r="G4" s="106" t="inlineStr">
        <is>
          <t>Current Balance</t>
        </is>
      </c>
      <c r="H4" s="106" t="inlineStr">
        <is>
          <t>Months to Payoff</t>
        </is>
      </c>
      <c r="I4" s="106" t="inlineStr">
        <is>
          <t>Progress %</t>
        </is>
      </c>
    </row>
    <row r="5" ht="30" customHeight="1">
      <c r="B5" s="86" t="inlineStr">
        <is>
          <t>🎓  Student Loan</t>
        </is>
      </c>
      <c r="C5" s="29" t="n">
        <v>25000</v>
      </c>
      <c r="D5" s="107" t="n">
        <v>0.045</v>
      </c>
      <c r="E5" s="29" t="n">
        <v>280</v>
      </c>
      <c r="F5" s="29" t="n">
        <v>50</v>
      </c>
      <c r="G5" s="29" t="n">
        <v>22000</v>
      </c>
      <c r="H5" s="108">
        <f>IF((E5+F5)&gt;0,ROUND(G5/(E5+F5),0),"N/A")</f>
        <v/>
      </c>
      <c r="I5" s="109">
        <f>IF(C5&gt;0,MAX(0,1-(G5/C5)),0)</f>
        <v/>
      </c>
    </row>
    <row r="6" ht="30" customHeight="1">
      <c r="B6" s="94" t="inlineStr">
        <is>
          <t>💳  Credit Card</t>
        </is>
      </c>
      <c r="C6" s="29" t="n">
        <v>3500</v>
      </c>
      <c r="D6" s="107" t="n">
        <v>0.199</v>
      </c>
      <c r="E6" s="29" t="n">
        <v>75</v>
      </c>
      <c r="F6" s="29" t="n">
        <v>100</v>
      </c>
      <c r="G6" s="29" t="n">
        <v>2800</v>
      </c>
      <c r="H6" s="70">
        <f>IF((E6+F6)&gt;0,ROUND(G6/(E6+F6),0),"N/A")</f>
        <v/>
      </c>
      <c r="I6" s="110">
        <f>IF(C6&gt;0,MAX(0,1-(G6/C6)),0)</f>
        <v/>
      </c>
    </row>
    <row r="7" ht="30" customHeight="1">
      <c r="B7" s="90" t="inlineStr">
        <is>
          <t>🚗  Car Loan</t>
        </is>
      </c>
      <c r="C7" s="29" t="n">
        <v>18000</v>
      </c>
      <c r="D7" s="107" t="n">
        <v>0.035</v>
      </c>
      <c r="E7" s="29" t="n">
        <v>350</v>
      </c>
      <c r="F7" s="29" t="n">
        <v>0</v>
      </c>
      <c r="G7" s="29" t="n">
        <v>14500</v>
      </c>
      <c r="H7" s="108">
        <f>IF((E7+F7)&gt;0,ROUND(G7/(E7+F7),0),"N/A")</f>
        <v/>
      </c>
      <c r="I7" s="109">
        <f>IF(C7&gt;0,MAX(0,1-(G7/C7)),0)</f>
        <v/>
      </c>
    </row>
    <row r="8" ht="30" customHeight="1">
      <c r="B8" s="96" t="inlineStr">
        <is>
          <t>💼  Personal Loan</t>
        </is>
      </c>
      <c r="C8" s="29" t="n">
        <v>8000</v>
      </c>
      <c r="D8" s="107" t="n">
        <v>0.08900000000000001</v>
      </c>
      <c r="E8" s="29" t="n">
        <v>180</v>
      </c>
      <c r="F8" s="29" t="n">
        <v>25</v>
      </c>
      <c r="G8" s="29" t="n">
        <v>6200</v>
      </c>
      <c r="H8" s="70">
        <f>IF((E8+F8)&gt;0,ROUND(G8/(E8+F8),0),"N/A")</f>
        <v/>
      </c>
      <c r="I8" s="110">
        <f>IF(C8&gt;0,MAX(0,1-(G8/C8)),0)</f>
        <v/>
      </c>
    </row>
    <row r="9" ht="10" customHeight="1"/>
    <row r="10" ht="30" customHeight="1">
      <c r="A10" s="111" t="inlineStr">
        <is>
          <t>TOTALS</t>
        </is>
      </c>
      <c r="C10" s="112">
        <f>SUM(C5:C8)</f>
        <v/>
      </c>
      <c r="D10" s="113" t="n"/>
      <c r="E10" s="112">
        <f>SUM(E5:E8)</f>
        <v/>
      </c>
      <c r="F10" s="112">
        <f>SUM(F5:F8)</f>
        <v/>
      </c>
      <c r="G10" s="112">
        <f>SUM(G5:G8)</f>
        <v/>
      </c>
      <c r="H10" s="113" t="n"/>
      <c r="I10" s="113" t="n"/>
    </row>
    <row r="11" ht="8" customHeight="1"/>
    <row r="12" ht="44" customHeight="1">
      <c r="A12" s="114" t="inlineStr">
        <is>
          <t>💡  DEBT PAYOFF STRATEGIES:
Avalanche Method: Pay extra toward highest-interest debt first (saves the most money)  |  Snowball Method: Pay extra toward smallest balance first (builds momentum &amp; motivation)</t>
        </is>
      </c>
    </row>
  </sheetData>
  <mergeCells count="4">
    <mergeCell ref="A12:J12"/>
    <mergeCell ref="A1:J1"/>
    <mergeCell ref="A10:B10"/>
    <mergeCell ref="A2:J2"/>
  </mergeCells>
  <conditionalFormatting sqref="I5:I8">
    <cfRule type="colorScale" priority="1">
      <colorScale>
        <cfvo type="num" val="0"/>
        <cfvo type="num" val="0.5"/>
        <cfvo type="num" val="1"/>
        <color rgb="00E76F51"/>
        <color rgb="00E9C46A"/>
        <color rgb="002A9D8F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64653"/>
    <outlinePr summaryBelow="1" summaryRight="1"/>
    <pageSetUpPr fitToPage="1"/>
  </sheetPr>
  <dimension ref="A1:Q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  <col width="13" customWidth="1" min="16" max="16"/>
    <col width="3" customWidth="1" min="17" max="17"/>
  </cols>
  <sheetData>
    <row r="1" ht="42" customHeight="1">
      <c r="A1" s="23" t="inlineStr">
        <is>
          <t>ANNUAL FINANCIAL OVERVIEW — 2026</t>
        </is>
      </c>
    </row>
    <row r="2" ht="22" customHeight="1">
      <c r="A2" s="24" t="inlineStr">
        <is>
          <t>Enter income and expenses for each month. Annual totals and monthly averages calculate automatically.</t>
        </is>
      </c>
    </row>
    <row r="3" ht="12" customHeight="1"/>
    <row r="4" ht="28" customHeight="1">
      <c r="B4" s="26" t="inlineStr">
        <is>
          <t>Category</t>
        </is>
      </c>
      <c r="C4" s="64" t="inlineStr">
        <is>
          <t>Jan</t>
        </is>
      </c>
      <c r="D4" s="64" t="inlineStr">
        <is>
          <t>Feb</t>
        </is>
      </c>
      <c r="E4" s="64" t="inlineStr">
        <is>
          <t>Mar</t>
        </is>
      </c>
      <c r="F4" s="64" t="inlineStr">
        <is>
          <t>Apr</t>
        </is>
      </c>
      <c r="G4" s="64" t="inlineStr">
        <is>
          <t>May</t>
        </is>
      </c>
      <c r="H4" s="64" t="inlineStr">
        <is>
          <t>Jun</t>
        </is>
      </c>
      <c r="I4" s="64" t="inlineStr">
        <is>
          <t>Jul</t>
        </is>
      </c>
      <c r="J4" s="64" t="inlineStr">
        <is>
          <t>Aug</t>
        </is>
      </c>
      <c r="K4" s="64" t="inlineStr">
        <is>
          <t>Sep</t>
        </is>
      </c>
      <c r="L4" s="64" t="inlineStr">
        <is>
          <t>Oct</t>
        </is>
      </c>
      <c r="M4" s="64" t="inlineStr">
        <is>
          <t>Nov</t>
        </is>
      </c>
      <c r="N4" s="64" t="inlineStr">
        <is>
          <t>Dec</t>
        </is>
      </c>
      <c r="O4" s="26" t="inlineStr">
        <is>
          <t>Annual Total</t>
        </is>
      </c>
      <c r="P4" s="26" t="inlineStr">
        <is>
          <t>Avg / Month</t>
        </is>
      </c>
    </row>
    <row r="5" ht="26" customHeight="1">
      <c r="A5" s="115" t="inlineStr">
        <is>
          <t>▶  INCOME</t>
        </is>
      </c>
    </row>
    <row r="6" ht="22" customHeight="1">
      <c r="B6" s="32" t="inlineStr">
        <is>
          <t>Salary</t>
        </is>
      </c>
      <c r="C6" s="29" t="n">
        <v>5000</v>
      </c>
      <c r="D6" s="29" t="n">
        <v>5000</v>
      </c>
      <c r="E6" s="29" t="n">
        <v>5000</v>
      </c>
      <c r="F6" s="29" t="n">
        <v>5000</v>
      </c>
      <c r="G6" s="29" t="n">
        <v>5000</v>
      </c>
      <c r="H6" s="29" t="n">
        <v>5000</v>
      </c>
      <c r="I6" s="29" t="n">
        <v>5000</v>
      </c>
      <c r="J6" s="29" t="n">
        <v>5000</v>
      </c>
      <c r="K6" s="29" t="n">
        <v>5000</v>
      </c>
      <c r="L6" s="29" t="n">
        <v>5000</v>
      </c>
      <c r="M6" s="29" t="n">
        <v>5000</v>
      </c>
      <c r="N6" s="29" t="n">
        <v>5000</v>
      </c>
      <c r="O6" s="116">
        <f>SUM(C6:N6)</f>
        <v/>
      </c>
      <c r="P6" s="117">
        <f>IFERROR(O6/COUNTIF(C6:N6,"&gt;"&amp;0),0)</f>
        <v/>
      </c>
    </row>
    <row r="7" ht="22" customHeight="1">
      <c r="B7" s="118" t="inlineStr">
        <is>
          <t>Side Hustle</t>
        </is>
      </c>
      <c r="C7" s="29" t="n">
        <v>320</v>
      </c>
      <c r="D7" s="29" t="n">
        <v>450</v>
      </c>
      <c r="E7" s="29" t="n">
        <v>380</v>
      </c>
      <c r="F7" s="29" t="n">
        <v>290</v>
      </c>
      <c r="G7" s="29" t="n">
        <v>400</v>
      </c>
      <c r="H7" s="29" t="n">
        <v>500</v>
      </c>
      <c r="I7" s="29" t="n">
        <v>350</v>
      </c>
      <c r="J7" s="29" t="n">
        <v>420</v>
      </c>
      <c r="K7" s="29" t="n">
        <v>380</v>
      </c>
      <c r="L7" s="29" t="n">
        <v>310</v>
      </c>
      <c r="M7" s="29" t="n">
        <v>450</v>
      </c>
      <c r="N7" s="29" t="n">
        <v>600</v>
      </c>
      <c r="O7" s="116">
        <f>SUM(C7:N7)</f>
        <v/>
      </c>
      <c r="P7" s="117">
        <f>IFERROR(O7/COUNTIF(C7:N7,"&gt;"&amp;0),0)</f>
        <v/>
      </c>
    </row>
    <row r="8" ht="22" customHeight="1">
      <c r="B8" s="32" t="inlineStr">
        <is>
          <t>Investments</t>
        </is>
      </c>
      <c r="C8" s="29" t="n">
        <v>200</v>
      </c>
      <c r="D8" s="29" t="n">
        <v>200</v>
      </c>
      <c r="E8" s="29" t="n">
        <v>200</v>
      </c>
      <c r="F8" s="29" t="n">
        <v>200</v>
      </c>
      <c r="G8" s="29" t="n">
        <v>200</v>
      </c>
      <c r="H8" s="29" t="n">
        <v>200</v>
      </c>
      <c r="I8" s="29" t="n">
        <v>200</v>
      </c>
      <c r="J8" s="29" t="n">
        <v>200</v>
      </c>
      <c r="K8" s="29" t="n">
        <v>200</v>
      </c>
      <c r="L8" s="29" t="n">
        <v>200</v>
      </c>
      <c r="M8" s="29" t="n">
        <v>200</v>
      </c>
      <c r="N8" s="29" t="n">
        <v>200</v>
      </c>
      <c r="O8" s="116">
        <f>SUM(C8:N8)</f>
        <v/>
      </c>
      <c r="P8" s="117">
        <f>IFERROR(O8/COUNTIF(C8:N8,"&gt;"&amp;0),0)</f>
        <v/>
      </c>
    </row>
    <row r="9" ht="22" customHeight="1">
      <c r="B9" s="118" t="inlineStr">
        <is>
          <t>Freelance</t>
        </is>
      </c>
      <c r="C9" s="29" t="n">
        <v>750</v>
      </c>
      <c r="D9" s="29" t="n"/>
      <c r="E9" s="29" t="n">
        <v>500</v>
      </c>
      <c r="F9" s="29" t="n"/>
      <c r="G9" s="29" t="n">
        <v>300</v>
      </c>
      <c r="H9" s="29" t="n">
        <v>750</v>
      </c>
      <c r="I9" s="29" t="n"/>
      <c r="J9" s="29" t="n">
        <v>500</v>
      </c>
      <c r="K9" s="29" t="n"/>
      <c r="L9" s="29" t="n">
        <v>750</v>
      </c>
      <c r="M9" s="29" t="n">
        <v>500</v>
      </c>
      <c r="N9" s="29" t="n">
        <v>1000</v>
      </c>
      <c r="O9" s="116">
        <f>SUM(C9:N9)</f>
        <v/>
      </c>
      <c r="P9" s="117">
        <f>IFERROR(O9/COUNTIF(C9:N9,"&gt;"&amp;0),0)</f>
        <v/>
      </c>
    </row>
    <row r="10" ht="22" customHeight="1">
      <c r="B10" s="32" t="inlineStr">
        <is>
          <t>Other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116">
        <f>SUM(C10:N10)</f>
        <v/>
      </c>
      <c r="P10" s="117">
        <f>IFERROR(O10/COUNTIF(C10:N10,"&gt;"&amp;0),0)</f>
        <v/>
      </c>
    </row>
    <row r="11" ht="28" customHeight="1">
      <c r="B11" s="102" t="inlineStr">
        <is>
          <t>TOTAL INCOME</t>
        </is>
      </c>
      <c r="C11" s="119">
        <f>SUM(C6:C10)</f>
        <v/>
      </c>
      <c r="D11" s="119">
        <f>SUM(D6:D10)</f>
        <v/>
      </c>
      <c r="E11" s="119">
        <f>SUM(E6:E10)</f>
        <v/>
      </c>
      <c r="F11" s="119">
        <f>SUM(F6:F10)</f>
        <v/>
      </c>
      <c r="G11" s="119">
        <f>SUM(G6:G10)</f>
        <v/>
      </c>
      <c r="H11" s="119">
        <f>SUM(H6:H10)</f>
        <v/>
      </c>
      <c r="I11" s="119">
        <f>SUM(I6:I10)</f>
        <v/>
      </c>
      <c r="J11" s="119">
        <f>SUM(J6:J10)</f>
        <v/>
      </c>
      <c r="K11" s="119">
        <f>SUM(K6:K10)</f>
        <v/>
      </c>
      <c r="L11" s="119">
        <f>SUM(L6:L10)</f>
        <v/>
      </c>
      <c r="M11" s="119">
        <f>SUM(M6:M10)</f>
        <v/>
      </c>
      <c r="N11" s="119">
        <f>SUM(N6:N10)</f>
        <v/>
      </c>
      <c r="O11" s="119">
        <f>SUM(C11:N11)</f>
        <v/>
      </c>
      <c r="P11" s="119">
        <f>IFERROR(O11/12,0)</f>
        <v/>
      </c>
    </row>
    <row r="12" ht="10" customHeight="1"/>
    <row r="13" ht="26" customHeight="1">
      <c r="A13" s="120" t="inlineStr">
        <is>
          <t>▶  EXPENSES</t>
        </is>
      </c>
    </row>
    <row r="14" ht="22" customHeight="1">
      <c r="B14" s="121" t="inlineStr">
        <is>
          <t>Housing</t>
        </is>
      </c>
      <c r="C14" s="29" t="n">
        <v>1500</v>
      </c>
      <c r="D14" s="29" t="n">
        <v>1500</v>
      </c>
      <c r="E14" s="29" t="n">
        <v>1500</v>
      </c>
      <c r="F14" s="29" t="n">
        <v>1500</v>
      </c>
      <c r="G14" s="29" t="n">
        <v>1500</v>
      </c>
      <c r="H14" s="29" t="n">
        <v>1500</v>
      </c>
      <c r="I14" s="29" t="n">
        <v>1500</v>
      </c>
      <c r="J14" s="29" t="n">
        <v>1500</v>
      </c>
      <c r="K14" s="29" t="n">
        <v>1500</v>
      </c>
      <c r="L14" s="29" t="n">
        <v>1500</v>
      </c>
      <c r="M14" s="29" t="n">
        <v>1500</v>
      </c>
      <c r="N14" s="29" t="n">
        <v>1500</v>
      </c>
      <c r="O14" s="122">
        <f>SUM(C14:N14)</f>
        <v/>
      </c>
      <c r="P14" s="123">
        <f>IFERROR(O14/COUNTIF(C14:N14,"&gt;"&amp;0),0)</f>
        <v/>
      </c>
    </row>
    <row r="15" ht="22" customHeight="1">
      <c r="B15" s="124" t="inlineStr">
        <is>
          <t>Utilities</t>
        </is>
      </c>
      <c r="C15" s="29" t="n">
        <v>94</v>
      </c>
      <c r="D15" s="29" t="n">
        <v>88</v>
      </c>
      <c r="E15" s="29" t="n">
        <v>82</v>
      </c>
      <c r="F15" s="29" t="n">
        <v>75</v>
      </c>
      <c r="G15" s="29" t="n">
        <v>70</v>
      </c>
      <c r="H15" s="29" t="n">
        <v>95</v>
      </c>
      <c r="I15" s="29" t="n">
        <v>120</v>
      </c>
      <c r="J15" s="29" t="n">
        <v>130</v>
      </c>
      <c r="K15" s="29" t="n">
        <v>105</v>
      </c>
      <c r="L15" s="29" t="n">
        <v>88</v>
      </c>
      <c r="M15" s="29" t="n">
        <v>92</v>
      </c>
      <c r="N15" s="29" t="n">
        <v>98</v>
      </c>
      <c r="O15" s="122">
        <f>SUM(C15:N15)</f>
        <v/>
      </c>
      <c r="P15" s="123">
        <f>IFERROR(O15/COUNTIF(C15:N15,"&gt;"&amp;0),0)</f>
        <v/>
      </c>
    </row>
    <row r="16" ht="22" customHeight="1">
      <c r="B16" s="121" t="inlineStr">
        <is>
          <t>Groceries</t>
        </is>
      </c>
      <c r="C16" s="29" t="n">
        <v>217</v>
      </c>
      <c r="D16" s="29" t="n">
        <v>200</v>
      </c>
      <c r="E16" s="29" t="n">
        <v>210</v>
      </c>
      <c r="F16" s="29" t="n">
        <v>195</v>
      </c>
      <c r="G16" s="29" t="n">
        <v>220</v>
      </c>
      <c r="H16" s="29" t="n">
        <v>230</v>
      </c>
      <c r="I16" s="29" t="n">
        <v>215</v>
      </c>
      <c r="J16" s="29" t="n">
        <v>205</v>
      </c>
      <c r="K16" s="29" t="n">
        <v>225</v>
      </c>
      <c r="L16" s="29" t="n">
        <v>210</v>
      </c>
      <c r="M16" s="29" t="n">
        <v>240</v>
      </c>
      <c r="N16" s="29" t="n">
        <v>280</v>
      </c>
      <c r="O16" s="122">
        <f>SUM(C16:N16)</f>
        <v/>
      </c>
      <c r="P16" s="123">
        <f>IFERROR(O16/COUNTIF(C16:N16,"&gt;"&amp;0),0)</f>
        <v/>
      </c>
    </row>
    <row r="17" ht="22" customHeight="1">
      <c r="B17" s="124" t="inlineStr">
        <is>
          <t>Transportation</t>
        </is>
      </c>
      <c r="C17" s="29" t="n">
        <v>132</v>
      </c>
      <c r="D17" s="29" t="n">
        <v>132</v>
      </c>
      <c r="E17" s="29" t="n">
        <v>132</v>
      </c>
      <c r="F17" s="29" t="n">
        <v>132</v>
      </c>
      <c r="G17" s="29" t="n">
        <v>132</v>
      </c>
      <c r="H17" s="29" t="n">
        <v>132</v>
      </c>
      <c r="I17" s="29" t="n">
        <v>132</v>
      </c>
      <c r="J17" s="29" t="n">
        <v>132</v>
      </c>
      <c r="K17" s="29" t="n">
        <v>132</v>
      </c>
      <c r="L17" s="29" t="n">
        <v>132</v>
      </c>
      <c r="M17" s="29" t="n">
        <v>132</v>
      </c>
      <c r="N17" s="29" t="n">
        <v>132</v>
      </c>
      <c r="O17" s="122">
        <f>SUM(C17:N17)</f>
        <v/>
      </c>
      <c r="P17" s="123">
        <f>IFERROR(O17/COUNTIF(C17:N17,"&gt;"&amp;0),0)</f>
        <v/>
      </c>
    </row>
    <row r="18" ht="22" customHeight="1">
      <c r="B18" s="121" t="inlineStr">
        <is>
          <t>Insurance</t>
        </is>
      </c>
      <c r="C18" s="29" t="n">
        <v>200</v>
      </c>
      <c r="D18" s="29" t="n">
        <v>200</v>
      </c>
      <c r="E18" s="29" t="n">
        <v>200</v>
      </c>
      <c r="F18" s="29" t="n">
        <v>200</v>
      </c>
      <c r="G18" s="29" t="n">
        <v>200</v>
      </c>
      <c r="H18" s="29" t="n">
        <v>200</v>
      </c>
      <c r="I18" s="29" t="n">
        <v>200</v>
      </c>
      <c r="J18" s="29" t="n">
        <v>200</v>
      </c>
      <c r="K18" s="29" t="n">
        <v>200</v>
      </c>
      <c r="L18" s="29" t="n">
        <v>200</v>
      </c>
      <c r="M18" s="29" t="n">
        <v>200</v>
      </c>
      <c r="N18" s="29" t="n">
        <v>200</v>
      </c>
      <c r="O18" s="122">
        <f>SUM(C18:N18)</f>
        <v/>
      </c>
      <c r="P18" s="123">
        <f>IFERROR(O18/COUNTIF(C18:N18,"&gt;"&amp;0),0)</f>
        <v/>
      </c>
    </row>
    <row r="19" ht="22" customHeight="1">
      <c r="B19" s="124" t="inlineStr">
        <is>
          <t>Healthcare</t>
        </is>
      </c>
      <c r="C19" s="29" t="n">
        <v>35</v>
      </c>
      <c r="D19" s="29" t="n"/>
      <c r="E19" s="29" t="n"/>
      <c r="F19" s="29" t="n">
        <v>75</v>
      </c>
      <c r="G19" s="29" t="n"/>
      <c r="H19" s="29" t="n"/>
      <c r="I19" s="29" t="n">
        <v>35</v>
      </c>
      <c r="J19" s="29" t="n"/>
      <c r="K19" s="29" t="n"/>
      <c r="L19" s="29" t="n">
        <v>100</v>
      </c>
      <c r="M19" s="29" t="n"/>
      <c r="N19" s="29" t="n">
        <v>35</v>
      </c>
      <c r="O19" s="122">
        <f>SUM(C19:N19)</f>
        <v/>
      </c>
      <c r="P19" s="123">
        <f>IFERROR(O19/COUNTIF(C19:N19,"&gt;"&amp;0),0)</f>
        <v/>
      </c>
    </row>
    <row r="20" ht="22" customHeight="1">
      <c r="B20" s="121" t="inlineStr">
        <is>
          <t>Dining Out</t>
        </is>
      </c>
      <c r="C20" s="29" t="n">
        <v>67</v>
      </c>
      <c r="D20" s="29" t="n">
        <v>80</v>
      </c>
      <c r="E20" s="29" t="n">
        <v>95</v>
      </c>
      <c r="F20" s="29" t="n">
        <v>110</v>
      </c>
      <c r="G20" s="29" t="n">
        <v>85</v>
      </c>
      <c r="H20" s="29" t="n">
        <v>120</v>
      </c>
      <c r="I20" s="29" t="n">
        <v>90</v>
      </c>
      <c r="J20" s="29" t="n">
        <v>75</v>
      </c>
      <c r="K20" s="29" t="n">
        <v>85</v>
      </c>
      <c r="L20" s="29" t="n">
        <v>95</v>
      </c>
      <c r="M20" s="29" t="n">
        <v>130</v>
      </c>
      <c r="N20" s="29" t="n">
        <v>180</v>
      </c>
      <c r="O20" s="122">
        <f>SUM(C20:N20)</f>
        <v/>
      </c>
      <c r="P20" s="123">
        <f>IFERROR(O20/COUNTIF(C20:N20,"&gt;"&amp;0),0)</f>
        <v/>
      </c>
    </row>
    <row r="21" ht="22" customHeight="1">
      <c r="B21" s="124" t="inlineStr">
        <is>
          <t>Entertainment</t>
        </is>
      </c>
      <c r="C21" s="29" t="n">
        <v>32</v>
      </c>
      <c r="D21" s="29" t="n">
        <v>45</v>
      </c>
      <c r="E21" s="29" t="n">
        <v>38</v>
      </c>
      <c r="F21" s="29" t="n">
        <v>55</v>
      </c>
      <c r="G21" s="29" t="n">
        <v>40</v>
      </c>
      <c r="H21" s="29" t="n">
        <v>75</v>
      </c>
      <c r="I21" s="29" t="n">
        <v>50</v>
      </c>
      <c r="J21" s="29" t="n">
        <v>45</v>
      </c>
      <c r="K21" s="29" t="n">
        <v>40</v>
      </c>
      <c r="L21" s="29" t="n">
        <v>55</v>
      </c>
      <c r="M21" s="29" t="n">
        <v>60</v>
      </c>
      <c r="N21" s="29" t="n">
        <v>85</v>
      </c>
      <c r="O21" s="122">
        <f>SUM(C21:N21)</f>
        <v/>
      </c>
      <c r="P21" s="123">
        <f>IFERROR(O21/COUNTIF(C21:N21,"&gt;"&amp;0),0)</f>
        <v/>
      </c>
    </row>
    <row r="22" ht="22" customHeight="1">
      <c r="B22" s="121" t="inlineStr">
        <is>
          <t>Shopping</t>
        </is>
      </c>
      <c r="C22" s="29" t="n">
        <v>79</v>
      </c>
      <c r="D22" s="29" t="n">
        <v>120</v>
      </c>
      <c r="E22" s="29" t="n">
        <v>95</v>
      </c>
      <c r="F22" s="29" t="n">
        <v>80</v>
      </c>
      <c r="G22" s="29" t="n">
        <v>150</v>
      </c>
      <c r="H22" s="29" t="n">
        <v>65</v>
      </c>
      <c r="I22" s="29" t="n">
        <v>200</v>
      </c>
      <c r="J22" s="29" t="n">
        <v>110</v>
      </c>
      <c r="K22" s="29" t="n">
        <v>90</v>
      </c>
      <c r="L22" s="29" t="n">
        <v>180</v>
      </c>
      <c r="M22" s="29" t="n">
        <v>250</v>
      </c>
      <c r="N22" s="29" t="n">
        <v>400</v>
      </c>
      <c r="O22" s="122">
        <f>SUM(C22:N22)</f>
        <v/>
      </c>
      <c r="P22" s="123">
        <f>IFERROR(O22/COUNTIF(C22:N22,"&gt;"&amp;0),0)</f>
        <v/>
      </c>
    </row>
    <row r="23" ht="22" customHeight="1">
      <c r="B23" s="124" t="inlineStr">
        <is>
          <t>Subscriptions</t>
        </is>
      </c>
      <c r="C23" s="29" t="n">
        <v>16</v>
      </c>
      <c r="D23" s="29" t="n">
        <v>16</v>
      </c>
      <c r="E23" s="29" t="n">
        <v>16</v>
      </c>
      <c r="F23" s="29" t="n">
        <v>16</v>
      </c>
      <c r="G23" s="29" t="n">
        <v>16</v>
      </c>
      <c r="H23" s="29" t="n">
        <v>16</v>
      </c>
      <c r="I23" s="29" t="n">
        <v>16</v>
      </c>
      <c r="J23" s="29" t="n">
        <v>16</v>
      </c>
      <c r="K23" s="29" t="n">
        <v>16</v>
      </c>
      <c r="L23" s="29" t="n">
        <v>16</v>
      </c>
      <c r="M23" s="29" t="n">
        <v>16</v>
      </c>
      <c r="N23" s="29" t="n">
        <v>16</v>
      </c>
      <c r="O23" s="122">
        <f>SUM(C23:N23)</f>
        <v/>
      </c>
      <c r="P23" s="123">
        <f>IFERROR(O23/COUNTIF(C23:N23,"&gt;"&amp;0),0)</f>
        <v/>
      </c>
    </row>
    <row r="24" ht="22" customHeight="1">
      <c r="B24" s="121" t="inlineStr">
        <is>
          <t>Savings</t>
        </is>
      </c>
      <c r="C24" s="29" t="n">
        <v>300</v>
      </c>
      <c r="D24" s="29" t="n">
        <v>300</v>
      </c>
      <c r="E24" s="29" t="n">
        <v>300</v>
      </c>
      <c r="F24" s="29" t="n">
        <v>300</v>
      </c>
      <c r="G24" s="29" t="n">
        <v>300</v>
      </c>
      <c r="H24" s="29" t="n">
        <v>300</v>
      </c>
      <c r="I24" s="29" t="n">
        <v>300</v>
      </c>
      <c r="J24" s="29" t="n">
        <v>300</v>
      </c>
      <c r="K24" s="29" t="n">
        <v>300</v>
      </c>
      <c r="L24" s="29" t="n">
        <v>300</v>
      </c>
      <c r="M24" s="29" t="n">
        <v>300</v>
      </c>
      <c r="N24" s="29" t="n">
        <v>300</v>
      </c>
      <c r="O24" s="122">
        <f>SUM(C24:N24)</f>
        <v/>
      </c>
      <c r="P24" s="123">
        <f>IFERROR(O24/COUNTIF(C24:N24,"&gt;"&amp;0),0)</f>
        <v/>
      </c>
    </row>
    <row r="25" ht="22" customHeight="1">
      <c r="B25" s="124" t="inlineStr">
        <is>
          <t>Debt Payment</t>
        </is>
      </c>
      <c r="C25" s="29" t="n">
        <v>250</v>
      </c>
      <c r="D25" s="29" t="n">
        <v>250</v>
      </c>
      <c r="E25" s="29" t="n">
        <v>250</v>
      </c>
      <c r="F25" s="29" t="n">
        <v>250</v>
      </c>
      <c r="G25" s="29" t="n">
        <v>250</v>
      </c>
      <c r="H25" s="29" t="n">
        <v>250</v>
      </c>
      <c r="I25" s="29" t="n">
        <v>250</v>
      </c>
      <c r="J25" s="29" t="n">
        <v>250</v>
      </c>
      <c r="K25" s="29" t="n">
        <v>250</v>
      </c>
      <c r="L25" s="29" t="n">
        <v>250</v>
      </c>
      <c r="M25" s="29" t="n">
        <v>250</v>
      </c>
      <c r="N25" s="29" t="n">
        <v>250</v>
      </c>
      <c r="O25" s="122">
        <f>SUM(C25:N25)</f>
        <v/>
      </c>
      <c r="P25" s="123">
        <f>IFERROR(O25/COUNTIF(C25:N25,"&gt;"&amp;0),0)</f>
        <v/>
      </c>
    </row>
    <row r="26" ht="22" customHeight="1">
      <c r="B26" s="121" t="inlineStr">
        <is>
          <t>Education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>
        <v>500</v>
      </c>
      <c r="L26" s="29" t="n"/>
      <c r="M26" s="29" t="n"/>
      <c r="N26" s="29" t="n"/>
      <c r="O26" s="122">
        <f>SUM(C26:N26)</f>
        <v/>
      </c>
      <c r="P26" s="123">
        <f>IFERROR(O26/COUNTIF(C26:N26,"&gt;"&amp;0),0)</f>
        <v/>
      </c>
    </row>
    <row r="27" ht="22" customHeight="1">
      <c r="B27" s="124" t="inlineStr">
        <is>
          <t>Other</t>
        </is>
      </c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122">
        <f>SUM(C27:N27)</f>
        <v/>
      </c>
      <c r="P27" s="123">
        <f>IFERROR(O27/COUNTIF(C27:N27,"&gt;"&amp;0),0)</f>
        <v/>
      </c>
    </row>
    <row r="28" ht="28" customHeight="1">
      <c r="B28" s="125" t="inlineStr">
        <is>
          <t>TOTAL EXPENSES</t>
        </is>
      </c>
      <c r="C28" s="126">
        <f>SUM(C14:C27)</f>
        <v/>
      </c>
      <c r="D28" s="126">
        <f>SUM(D14:D27)</f>
        <v/>
      </c>
      <c r="E28" s="126">
        <f>SUM(E14:E27)</f>
        <v/>
      </c>
      <c r="F28" s="126">
        <f>SUM(F14:F27)</f>
        <v/>
      </c>
      <c r="G28" s="126">
        <f>SUM(G14:G27)</f>
        <v/>
      </c>
      <c r="H28" s="126">
        <f>SUM(H14:H27)</f>
        <v/>
      </c>
      <c r="I28" s="126">
        <f>SUM(I14:I27)</f>
        <v/>
      </c>
      <c r="J28" s="126">
        <f>SUM(J14:J27)</f>
        <v/>
      </c>
      <c r="K28" s="126">
        <f>SUM(K14:K27)</f>
        <v/>
      </c>
      <c r="L28" s="126">
        <f>SUM(L14:L27)</f>
        <v/>
      </c>
      <c r="M28" s="126">
        <f>SUM(M14:M27)</f>
        <v/>
      </c>
      <c r="N28" s="126">
        <f>SUM(N14:N27)</f>
        <v/>
      </c>
      <c r="O28" s="126">
        <f>SUM(C28:N28)</f>
        <v/>
      </c>
      <c r="P28" s="126">
        <f>IFERROR(O28/12,0)</f>
        <v/>
      </c>
    </row>
    <row r="29" ht="32" customHeight="1">
      <c r="B29" s="127" t="inlineStr">
        <is>
          <t>NET (Income – Expenses)</t>
        </is>
      </c>
      <c r="C29" s="72">
        <f>C11-C28</f>
        <v/>
      </c>
      <c r="D29" s="72">
        <f>D11-D28</f>
        <v/>
      </c>
      <c r="E29" s="72">
        <f>E11-E28</f>
        <v/>
      </c>
      <c r="F29" s="72">
        <f>F11-F28</f>
        <v/>
      </c>
      <c r="G29" s="72">
        <f>G11-G28</f>
        <v/>
      </c>
      <c r="H29" s="72">
        <f>H11-H28</f>
        <v/>
      </c>
      <c r="I29" s="72">
        <f>I11-I28</f>
        <v/>
      </c>
      <c r="J29" s="72">
        <f>J11-J28</f>
        <v/>
      </c>
      <c r="K29" s="72">
        <f>K11-K28</f>
        <v/>
      </c>
      <c r="L29" s="72">
        <f>L11-L28</f>
        <v/>
      </c>
      <c r="M29" s="72">
        <f>M11-M28</f>
        <v/>
      </c>
      <c r="N29" s="72">
        <f>N11-N28</f>
        <v/>
      </c>
      <c r="O29" s="72">
        <f>SUM(C29:N29)</f>
        <v/>
      </c>
      <c r="P29" s="72">
        <f>IFERROR(O29/12,0)</f>
        <v/>
      </c>
    </row>
  </sheetData>
  <mergeCells count="4">
    <mergeCell ref="A2:Q2"/>
    <mergeCell ref="A13:Q13"/>
    <mergeCell ref="A1:Q1"/>
    <mergeCell ref="A5:Q5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90D9"/>
    <outlinePr summaryBelow="1" summaryRight="1"/>
    <pageSetUpPr fitToPage="1"/>
  </sheetPr>
  <dimension ref="A1:I1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" customWidth="1" min="9" max="9"/>
  </cols>
  <sheetData>
    <row r="1" ht="42" customHeight="1">
      <c r="A1" s="23" t="inlineStr">
        <is>
          <t>JANUARY 2026 — BILL &amp; INCOME CALENDAR</t>
        </is>
      </c>
    </row>
    <row r="2" ht="24" customHeight="1">
      <c r="A2" s="128" t="inlineStr">
        <is>
          <t>🔴  Red = Bill Due Date     🟢  Green = Income / Payday     ⚪  Gray = Regular Day     🟡  Yellow = Both</t>
        </is>
      </c>
    </row>
    <row r="3" ht="10" customHeight="1"/>
    <row r="4" ht="30" customHeight="1">
      <c r="B4" s="10" t="inlineStr">
        <is>
          <t>Mon</t>
        </is>
      </c>
      <c r="C4" s="10" t="inlineStr">
        <is>
          <t>Tue</t>
        </is>
      </c>
      <c r="D4" s="10" t="inlineStr">
        <is>
          <t>Wed</t>
        </is>
      </c>
      <c r="E4" s="10" t="inlineStr">
        <is>
          <t>Thu</t>
        </is>
      </c>
      <c r="F4" s="10" t="inlineStr">
        <is>
          <t>Fri</t>
        </is>
      </c>
      <c r="G4" s="10" t="inlineStr">
        <is>
          <t>Sat</t>
        </is>
      </c>
      <c r="H4" s="10" t="inlineStr">
        <is>
          <t>Sun</t>
        </is>
      </c>
    </row>
    <row r="5" ht="52" customHeight="1">
      <c r="B5" s="129" t="n"/>
      <c r="C5" s="129" t="n"/>
      <c r="D5" s="129" t="n"/>
      <c r="E5" s="130" t="n">
        <v>1</v>
      </c>
      <c r="F5" s="130" t="n">
        <v>2</v>
      </c>
      <c r="G5" s="130" t="n">
        <v>3</v>
      </c>
      <c r="H5" s="130" t="n">
        <v>4</v>
      </c>
    </row>
    <row r="6" ht="52" customHeight="1">
      <c r="B6" s="131" t="inlineStr">
        <is>
          <t>5
Salary Deposit
Rent Due</t>
        </is>
      </c>
      <c r="C6" s="130" t="n">
        <v>6</v>
      </c>
      <c r="D6" s="130" t="n">
        <v>7</v>
      </c>
      <c r="E6" s="132" t="inlineStr">
        <is>
          <t>8
Electric Due</t>
        </is>
      </c>
      <c r="F6" s="130" t="n">
        <v>9</v>
      </c>
      <c r="G6" s="130" t="n">
        <v>10</v>
      </c>
      <c r="H6" s="130" t="n">
        <v>11</v>
      </c>
    </row>
    <row r="7" ht="52" customHeight="1">
      <c r="B7" s="130" t="n">
        <v>12</v>
      </c>
      <c r="C7" s="130" t="n">
        <v>13</v>
      </c>
      <c r="D7" s="130" t="n">
        <v>14</v>
      </c>
      <c r="E7" s="133" t="inlineStr">
        <is>
          <t>15
Freelance Payment</t>
        </is>
      </c>
      <c r="F7" s="132" t="inlineStr">
        <is>
          <t>16
Netflix Due</t>
        </is>
      </c>
      <c r="G7" s="130" t="n">
        <v>17</v>
      </c>
      <c r="H7" s="130" t="n">
        <v>18</v>
      </c>
    </row>
    <row r="8" ht="52" customHeight="1">
      <c r="B8" s="130" t="n">
        <v>19</v>
      </c>
      <c r="C8" s="132" t="inlineStr">
        <is>
          <t>20
Savings Transfer</t>
        </is>
      </c>
      <c r="D8" s="130" t="n">
        <v>21</v>
      </c>
      <c r="E8" s="130" t="n">
        <v>22</v>
      </c>
      <c r="F8" s="130" t="n">
        <v>23</v>
      </c>
      <c r="G8" s="130" t="n">
        <v>24</v>
      </c>
      <c r="H8" s="130" t="n">
        <v>25</v>
      </c>
    </row>
    <row r="9" ht="52" customHeight="1">
      <c r="B9" s="130" t="n">
        <v>26</v>
      </c>
      <c r="C9" s="130" t="n">
        <v>27</v>
      </c>
      <c r="D9" s="130" t="n">
        <v>28</v>
      </c>
      <c r="E9" s="130" t="n">
        <v>29</v>
      </c>
      <c r="F9" s="132" t="inlineStr">
        <is>
          <t>30
Student Loan</t>
        </is>
      </c>
      <c r="G9" s="130" t="n">
        <v>31</v>
      </c>
      <c r="H9" s="129" t="n"/>
    </row>
    <row r="10" ht="16" customHeight="1"/>
    <row r="11" ht="32" customHeight="1">
      <c r="A11" s="63" t="inlineStr">
        <is>
          <t>UPCOMING BILLS &amp; PAYMENTS — January 2026</t>
        </is>
      </c>
    </row>
    <row r="12" ht="26" customHeight="1">
      <c r="B12" s="64" t="inlineStr">
        <is>
          <t>Date</t>
        </is>
      </c>
      <c r="C12" s="64" t="inlineStr">
        <is>
          <t>Bill / Item</t>
        </is>
      </c>
      <c r="D12" s="64" t="inlineStr">
        <is>
          <t>Amount</t>
        </is>
      </c>
      <c r="E12" s="64" t="inlineStr">
        <is>
          <t>Auto-Pay?</t>
        </is>
      </c>
      <c r="F12" s="64" t="inlineStr">
        <is>
          <t>Status</t>
        </is>
      </c>
    </row>
    <row r="13" ht="26" customHeight="1">
      <c r="B13" s="134" t="inlineStr">
        <is>
          <t>Jan 5</t>
        </is>
      </c>
      <c r="C13" s="135" t="inlineStr">
        <is>
          <t>Rent Payment</t>
        </is>
      </c>
      <c r="D13" s="66" t="n">
        <v>1500</v>
      </c>
      <c r="E13" s="67" t="inlineStr">
        <is>
          <t>No</t>
        </is>
      </c>
      <c r="F13" s="44" t="inlineStr">
        <is>
          <t>Paid</t>
        </is>
      </c>
    </row>
    <row r="14" ht="26" customHeight="1">
      <c r="B14" s="136" t="inlineStr">
        <is>
          <t>Jan 8</t>
        </is>
      </c>
      <c r="C14" s="45" t="inlineStr">
        <is>
          <t>Electric Bill</t>
        </is>
      </c>
      <c r="D14" s="69" t="n">
        <v>94.2</v>
      </c>
      <c r="E14" s="70" t="inlineStr">
        <is>
          <t>Yes</t>
        </is>
      </c>
      <c r="F14" s="44" t="inlineStr">
        <is>
          <t>Paid</t>
        </is>
      </c>
    </row>
    <row r="15" ht="26" customHeight="1">
      <c r="B15" s="134" t="inlineStr">
        <is>
          <t>Jan 16</t>
        </is>
      </c>
      <c r="C15" s="135" t="inlineStr">
        <is>
          <t>Netflix Subscription</t>
        </is>
      </c>
      <c r="D15" s="66" t="n">
        <v>15.99</v>
      </c>
      <c r="E15" s="67" t="inlineStr">
        <is>
          <t>Yes</t>
        </is>
      </c>
      <c r="F15" s="44" t="inlineStr">
        <is>
          <t>Paid</t>
        </is>
      </c>
    </row>
    <row r="16" ht="26" customHeight="1">
      <c r="B16" s="136" t="inlineStr">
        <is>
          <t>Jan 20</t>
        </is>
      </c>
      <c r="C16" s="45" t="inlineStr">
        <is>
          <t>Savings Auto-Transfer</t>
        </is>
      </c>
      <c r="D16" s="69" t="n">
        <v>300</v>
      </c>
      <c r="E16" s="70" t="inlineStr">
        <is>
          <t>Yes</t>
        </is>
      </c>
      <c r="F16" s="44" t="inlineStr">
        <is>
          <t>Paid</t>
        </is>
      </c>
    </row>
    <row r="17" ht="26" customHeight="1">
      <c r="B17" s="134" t="inlineStr">
        <is>
          <t>Jan 30</t>
        </is>
      </c>
      <c r="C17" s="135" t="inlineStr">
        <is>
          <t>Student Loan Payment</t>
        </is>
      </c>
      <c r="D17" s="66" t="n">
        <v>250</v>
      </c>
      <c r="E17" s="67" t="inlineStr">
        <is>
          <t>Yes</t>
        </is>
      </c>
      <c r="F17" s="48" t="inlineStr">
        <is>
          <t>Upcoming</t>
        </is>
      </c>
    </row>
    <row r="18" ht="8" customHeight="1"/>
    <row r="19" ht="30" customHeight="1">
      <c r="A19" s="137" t="inlineStr">
        <is>
          <t>LEGEND:   🔴 Red = Bill Due Date   |   🟢 Green = Income / Payday   |   ⚪ Gray = Regular Day   |   🟡 Yellow = Both on same day</t>
        </is>
      </c>
    </row>
  </sheetData>
  <mergeCells count="4">
    <mergeCell ref="A1:I1"/>
    <mergeCell ref="A19:I19"/>
    <mergeCell ref="A2:I2"/>
    <mergeCell ref="A11:I1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2026-05-09T18:12:15Z</dcterms:created>
  <dcterms:modified xsi:type="dcterms:W3CDTF">2026-05-09T18:12:15Z</dcterms:modified>
</cp:coreProperties>
</file>