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tegory Setup" sheetId="2" state="visible" r:id="rId2"/>
    <sheet name="Monthly Tracker" sheetId="3" state="visible" r:id="rId3"/>
    <sheet name="Dashboard" sheetId="4" state="visible" r:id="rId4"/>
    <sheet name="Savings Goals" sheetId="5" state="visible" r:id="rId5"/>
    <sheet name="Debt Tracker" sheetId="6" state="visible" r:id="rId6"/>
    <sheet name="Annual Overview" sheetId="7" state="visible" r:id="rId7"/>
    <sheet name="Monthly Calend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E9C46A"/>
      <sz val="13"/>
    </font>
    <font>
      <name val="Calibri"/>
      <color rgb="00FFFFFF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264653"/>
      <sz val="11"/>
    </font>
    <font>
      <name val="Calibri"/>
      <color rgb="00000000"/>
      <sz val="11"/>
    </font>
    <font>
      <name val="Calibri"/>
      <b val="1"/>
      <color rgb="00264653"/>
      <sz val="12"/>
    </font>
    <font>
      <name val="Calibri"/>
      <b val="1"/>
      <color rgb="00FFFFFF"/>
      <sz val="12"/>
    </font>
    <font>
      <name val="Calibri"/>
      <b val="1"/>
      <color rgb="002E5AAC"/>
      <sz val="11"/>
    </font>
    <font>
      <name val="Calibri"/>
      <color rgb="00F8F9FA"/>
      <sz val="10"/>
    </font>
    <font>
      <name val="Calibri"/>
      <b val="1"/>
      <color rgb="00FFFFFF"/>
      <sz val="18"/>
    </font>
    <font>
      <name val="Calibri"/>
      <b val="1"/>
      <color rgb="00E76F51"/>
      <sz val="11"/>
    </font>
    <font>
      <name val="Calibri"/>
      <b val="1"/>
      <color rgb="00F4A261"/>
      <sz val="11"/>
    </font>
    <font>
      <name val="Calibri"/>
      <b val="1"/>
      <color rgb="002A9D8F"/>
      <sz val="11"/>
    </font>
    <font>
      <name val="Calibri"/>
      <b val="1"/>
      <color rgb="00000000"/>
      <sz val="11"/>
    </font>
    <font>
      <name val="Calibri"/>
      <b val="1"/>
      <color rgb="00E76F51"/>
      <sz val="12"/>
    </font>
    <font>
      <name val="Calibri"/>
      <b val="1"/>
      <color rgb="00F4A261"/>
      <sz val="12"/>
    </font>
    <font>
      <name val="Calibri"/>
      <b val="1"/>
      <color rgb="002A9D8F"/>
      <sz val="12"/>
    </font>
    <font>
      <name val="Calibri"/>
      <b val="1"/>
      <color rgb="00FFFEF0"/>
      <sz val="12"/>
    </font>
    <font>
      <name val="Calibri"/>
      <color rgb="00FFFFFF"/>
      <sz val="1"/>
    </font>
    <font>
      <name val="Calibri"/>
      <b val="1"/>
      <color rgb="00FFFFFF"/>
      <sz val="20"/>
    </font>
    <font>
      <name val="Calibri"/>
      <color rgb="00264653"/>
      <sz val="10"/>
    </font>
    <font>
      <name val="Calibri"/>
      <color rgb="002A9D8F"/>
      <sz val="11"/>
    </font>
    <font>
      <name val="Calibri"/>
      <b val="1"/>
      <color rgb="006C757D"/>
      <sz val="11"/>
    </font>
    <font>
      <name val="Calibri"/>
      <b val="1"/>
      <color rgb="00264653"/>
      <sz val="18"/>
    </font>
    <font>
      <name val="Calibri"/>
      <b val="1"/>
      <color rgb="00264653"/>
      <sz val="10"/>
    </font>
    <font>
      <name val="Calibri"/>
      <b val="1"/>
      <color rgb="00E76F51"/>
      <sz val="10"/>
    </font>
    <font>
      <name val="Calibri"/>
      <b val="1"/>
      <color rgb="002A9D8F"/>
      <sz val="10"/>
    </font>
    <font>
      <name val="Calibri"/>
      <color rgb="00E76F51"/>
      <sz val="11"/>
    </font>
    <font>
      <name val="Calibri"/>
      <color rgb="00264653"/>
      <sz val="11"/>
    </font>
  </fonts>
  <fills count="17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264653"/>
      </patternFill>
    </fill>
    <fill>
      <patternFill patternType="solid">
        <fgColor rgb="004A90D9"/>
      </patternFill>
    </fill>
    <fill>
      <patternFill patternType="solid">
        <fgColor rgb="00F4A261"/>
      </patternFill>
    </fill>
    <fill>
      <patternFill patternType="solid">
        <fgColor rgb="002A9D8F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C46A"/>
      </patternFill>
    </fill>
    <fill>
      <patternFill patternType="solid">
        <fgColor rgb="00FFFEF0"/>
      </patternFill>
    </fill>
    <fill>
      <patternFill patternType="solid">
        <fgColor rgb="00E9ECEF"/>
      </patternFill>
    </fill>
    <fill>
      <patternFill patternType="solid">
        <fgColor rgb="00E76F5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6C757D"/>
      </patternFill>
    </fill>
    <fill>
      <patternFill patternType="solid">
        <fgColor rgb="00FFF3CD"/>
      </patternFill>
    </fill>
  </fills>
  <borders count="8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double">
        <color rgb="00264653"/>
      </bottom>
    </border>
    <border>
      <left style="medium">
        <color rgb="00264653"/>
      </left>
      <right style="medium">
        <color rgb="00264653"/>
      </right>
      <top style="medium">
        <color rgb="00264653"/>
      </top>
      <bottom style="medium">
        <color rgb="00264653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9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right" vertical="center"/>
    </xf>
    <xf numFmtId="164" fontId="12" fillId="5" borderId="6" applyAlignment="1" pivotButton="0" quotePrefix="0" xfId="0">
      <alignment horizontal="right" vertical="center"/>
    </xf>
    <xf numFmtId="0" fontId="9" fillId="11" borderId="0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 wrapText="1"/>
    </xf>
    <xf numFmtId="164" fontId="18" fillId="13" borderId="1" applyAlignment="1" pivotButton="0" quotePrefix="0" xfId="0">
      <alignment horizontal="right" vertical="center"/>
    </xf>
    <xf numFmtId="0" fontId="10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left" vertical="center" wrapText="1"/>
    </xf>
    <xf numFmtId="164" fontId="16" fillId="14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right" vertical="center"/>
    </xf>
    <xf numFmtId="164" fontId="8" fillId="6" borderId="7" applyAlignment="1" pivotButton="0" quotePrefix="0" xfId="0">
      <alignment horizontal="right" vertical="center"/>
    </xf>
    <xf numFmtId="0" fontId="12" fillId="12" borderId="0" applyAlignment="1" pivotButton="0" quotePrefix="0" xfId="0">
      <alignment horizontal="right" vertical="center"/>
    </xf>
    <xf numFmtId="164" fontId="8" fillId="12" borderId="7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164" fontId="4" fillId="2" borderId="6" applyAlignment="1" pivotButton="0" quotePrefix="0" xfId="0">
      <alignment horizontal="right" vertical="center"/>
    </xf>
    <xf numFmtId="0" fontId="25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164" fontId="15" fillId="12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/>
    </xf>
    <xf numFmtId="165" fontId="15" fillId="5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9" fontId="19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26" fillId="9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165" fontId="19" fillId="8" borderId="1" applyAlignment="1" pivotButton="0" quotePrefix="0" xfId="0">
      <alignment horizontal="right" vertical="center"/>
    </xf>
    <xf numFmtId="0" fontId="27" fillId="8" borderId="1" applyAlignment="1" pivotButton="0" quotePrefix="0" xfId="0">
      <alignment horizontal="left" vertical="center"/>
    </xf>
    <xf numFmtId="0" fontId="28" fillId="11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165" fontId="10" fillId="8" borderId="1" applyAlignment="1" pivotButton="0" quotePrefix="0" xfId="0">
      <alignment horizontal="right" vertical="center"/>
    </xf>
    <xf numFmtId="0" fontId="0" fillId="7" borderId="1" pivotButton="0" quotePrefix="0" xfId="0"/>
    <xf numFmtId="0" fontId="15" fillId="12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10" fontId="10" fillId="10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 wrapText="1"/>
    </xf>
    <xf numFmtId="0" fontId="29" fillId="9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164" fontId="19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12" fillId="12" borderId="0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0" fontId="5" fillId="15" borderId="1" applyAlignment="1" pivotButton="0" quotePrefix="0" xfId="0">
      <alignment horizontal="center" vertical="center"/>
    </xf>
    <xf numFmtId="0" fontId="0" fillId="11" borderId="1" pivotButton="0" quotePrefix="0" xfId="0"/>
    <xf numFmtId="0" fontId="26" fillId="7" borderId="1" applyAlignment="1" pivotButton="0" quotePrefix="0" xfId="0">
      <alignment horizontal="center" vertical="top" wrapText="1"/>
    </xf>
    <xf numFmtId="0" fontId="30" fillId="16" borderId="1" applyAlignment="1" pivotButton="0" quotePrefix="0" xfId="0">
      <alignment horizontal="center" vertical="top" wrapText="1"/>
    </xf>
    <xf numFmtId="0" fontId="31" fillId="14" borderId="1" applyAlignment="1" pivotButton="0" quotePrefix="0" xfId="0">
      <alignment horizontal="center" vertical="top" wrapText="1"/>
    </xf>
    <xf numFmtId="0" fontId="32" fillId="13" borderId="1" applyAlignment="1" pivotButton="0" quotePrefix="0" xfId="0">
      <alignment horizontal="center" vertical="top" wrapText="1"/>
    </xf>
    <xf numFmtId="0" fontId="19" fillId="13" borderId="1" applyAlignment="1" pivotButton="0" quotePrefix="0" xfId="0">
      <alignment horizontal="left" vertical="center"/>
    </xf>
    <xf numFmtId="164" fontId="19" fillId="13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33" fillId="14" borderId="0" applyAlignment="1" pivotButton="0" quotePrefix="0" xfId="0">
      <alignment horizontal="left" vertical="center"/>
    </xf>
    <xf numFmtId="0" fontId="27" fillId="13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2A9D8F"/>
        <sz val="11"/>
      </font>
      <fill>
        <patternFill patternType="solid">
          <fgColor rgb="00D4EDDA"/>
        </patternFill>
      </fill>
    </dxf>
    <dxf>
      <font>
        <name val="Calibri"/>
        <b val="1"/>
        <color rgb="00E76F51"/>
        <sz val="11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28" customWidth="1" min="5" max="5"/>
    <col width="3" customWidth="1" min="6" max="6"/>
  </cols>
  <sheetData>
    <row r="1" ht="8" customHeight="1"/>
    <row r="2" ht="60" customHeight="1">
      <c r="B2" s="1" t="inlineStr">
        <is>
          <t>2026 All-In-One Automated Budget Planner</t>
        </is>
      </c>
    </row>
    <row r="3" ht="40" customHeight="1">
      <c r="B3" s="2" t="inlineStr">
        <is>
          <t>✦  Just enter your transactions, everything else calculates automatically  ✦</t>
        </is>
      </c>
    </row>
    <row r="4" ht="18" customHeight="1">
      <c r="B4" s="3" t="inlineStr">
        <is>
          <t>Personal Finance Made Simple — No Excel Knowledge Required</t>
        </is>
      </c>
    </row>
    <row r="5" ht="22" customHeight="1"/>
    <row r="6" ht="22" customHeight="1">
      <c r="B6" s="4" t="inlineStr">
        <is>
          <t>HOW IT WORKS</t>
        </is>
      </c>
    </row>
    <row r="7" ht="50" customHeight="1">
      <c r="B7" s="5" t="inlineStr">
        <is>
          <t>① SETUP
Open 'Category Setup'
Set income &amp; budget targets</t>
        </is>
      </c>
      <c r="C7" s="6" t="inlineStr">
        <is>
          <t>② TRACK
Open 'Monthly Tracker'
Enter each transaction</t>
        </is>
      </c>
      <c r="D7" s="7" t="inlineStr">
        <is>
          <t>③ REVIEW
Open 'Dashboard'
See instant analysis</t>
        </is>
      </c>
      <c r="E7" s="8" t="inlineStr">
        <is>
          <t>→ Repeat
Each Month</t>
        </is>
      </c>
    </row>
    <row r="8" ht="50" customHeight="1"/>
    <row r="9" ht="50" customHeight="1"/>
    <row r="10" ht="50" customHeight="1">
      <c r="B10" s="9" t="inlineStr">
        <is>
          <t>Open 'Monthly Tracker' sheet.
Enter each transaction as it happens. Just type the date, category, and amount.</t>
        </is>
      </c>
    </row>
    <row r="11" ht="50" customHeight="1">
      <c r="B11" s="10" t="inlineStr">
        <is>
          <t>✦  WHAT'S INCLUDED</t>
        </is>
      </c>
    </row>
    <row r="12" ht="22" customHeight="1">
      <c r="B12" s="11" t="inlineStr">
        <is>
          <t>✔  Auto-Calculations</t>
        </is>
      </c>
      <c r="C12" s="12" t="inlineStr">
        <is>
          <t>All totals and balances update instantly as you type.</t>
        </is>
      </c>
      <c r="D12" s="13" t="n"/>
      <c r="E12" s="14" t="n"/>
    </row>
    <row r="13" ht="22" customHeight="1">
      <c r="B13" s="11" t="inlineStr">
        <is>
          <t>✔  Color Coding</t>
        </is>
      </c>
      <c r="C13" s="12" t="inlineStr">
        <is>
          <t>Green for income, red for expenses — at a glance clarity.</t>
        </is>
      </c>
      <c r="D13" s="13" t="n"/>
      <c r="E13" s="14" t="n"/>
    </row>
    <row r="14" ht="22" customHeight="1">
      <c r="B14" s="11" t="inlineStr">
        <is>
          <t>✔  50/30/20 Analysis</t>
        </is>
      </c>
      <c r="C14" s="12" t="inlineStr">
        <is>
          <t>Built-in method to split Needs / Wants / Savings automatically.</t>
        </is>
      </c>
      <c r="D14" s="13" t="n"/>
      <c r="E14" s="14" t="n"/>
    </row>
    <row r="15" ht="22" customHeight="1">
      <c r="B15" s="11" t="inlineStr">
        <is>
          <t>✔  Progress Bars</t>
        </is>
      </c>
      <c r="C15" s="12" t="inlineStr">
        <is>
          <t>Visual savings goal bars built with spreadsheet formulas.</t>
        </is>
      </c>
      <c r="D15" s="13" t="n"/>
      <c r="E15" s="14" t="n"/>
    </row>
    <row r="16" ht="22" customHeight="1">
      <c r="B16" s="11" t="inlineStr">
        <is>
          <t>✔  Charts &amp; KPIs</t>
        </is>
      </c>
      <c r="C16" s="12" t="inlineStr">
        <is>
          <t>Dashboard cards showing income, expenses, balance &amp; savings rate.</t>
        </is>
      </c>
      <c r="D16" s="13" t="n"/>
      <c r="E16" s="14" t="n"/>
    </row>
    <row r="17" ht="22" customHeight="1">
      <c r="B17" s="11" t="inlineStr">
        <is>
          <t>✔  Annual Overview</t>
        </is>
      </c>
      <c r="C17" s="12" t="inlineStr">
        <is>
          <t>12-month bird's-eye view of every income and expense category.</t>
        </is>
      </c>
      <c r="D17" s="13" t="n"/>
      <c r="E17" s="14" t="n"/>
    </row>
    <row r="18" ht="22" customHeight="1">
      <c r="B18" s="11" t="inlineStr">
        <is>
          <t>✔  Debt Tracker</t>
        </is>
      </c>
      <c r="C18" s="12" t="inlineStr">
        <is>
          <t>Track balances, interest rates, and months to payoff.</t>
        </is>
      </c>
      <c r="D18" s="13" t="n"/>
      <c r="E18" s="14" t="n"/>
    </row>
    <row r="19" ht="22" customHeight="1">
      <c r="B19" s="11" t="inlineStr">
        <is>
          <t>✔  Savings Goals</t>
        </is>
      </c>
      <c r="C19" s="12" t="inlineStr">
        <is>
          <t>6 preset goals with progress tracking — add your own easily.</t>
        </is>
      </c>
      <c r="D19" s="13" t="n"/>
      <c r="E19" s="14" t="n"/>
    </row>
    <row r="20" ht="22" customHeight="1"/>
    <row r="21" ht="22" customHeight="1">
      <c r="B21" s="15" t="inlineStr">
        <is>
          <t>PRO TIPS FOR BEST RESULTS</t>
        </is>
      </c>
    </row>
    <row r="22" ht="22" customHeight="1">
      <c r="B22" s="16" t="inlineStr">
        <is>
          <t>💡  Update your tracker weekly so no transactions are forgotten.</t>
        </is>
      </c>
    </row>
    <row r="23" ht="22" customHeight="1">
      <c r="B23" s="16" t="inlineStr">
        <is>
          <t>💡  Use the same category names consistently for accurate reports.</t>
        </is>
      </c>
    </row>
    <row r="24" ht="22" customHeight="1">
      <c r="B24" s="16" t="inlineStr">
        <is>
          <t>💡  Review your Dashboard at the end of each month to spot trends.</t>
        </is>
      </c>
    </row>
    <row r="25" ht="22" customHeight="1">
      <c r="B25" s="16" t="inlineStr">
        <is>
          <t>💡  Set realistic budget targets in Category Setup — be honest!</t>
        </is>
      </c>
    </row>
    <row r="26" ht="22" customHeight="1"/>
    <row r="27" ht="22" customHeight="1">
      <c r="B27" s="17" t="inlineStr">
        <is>
          <t>SHEET NAVIGATION</t>
        </is>
      </c>
    </row>
    <row r="28" ht="22" customHeight="1">
      <c r="B28" s="18" t="inlineStr">
        <is>
          <t>📋 Category Setup</t>
        </is>
      </c>
      <c r="C28" s="19" t="inlineStr">
        <is>
          <t>Set your monthly income &amp; expense budgets</t>
        </is>
      </c>
      <c r="D28" s="13" t="n"/>
      <c r="E28" s="14" t="n"/>
    </row>
    <row r="29" ht="22" customHeight="1">
      <c r="B29" s="18" t="inlineStr">
        <is>
          <t>💳 Monthly Tracker</t>
        </is>
      </c>
      <c r="C29" s="19" t="inlineStr">
        <is>
          <t>Log every income &amp; expense transaction</t>
        </is>
      </c>
      <c r="D29" s="13" t="n"/>
      <c r="E29" s="14" t="n"/>
    </row>
    <row r="30" ht="22" customHeight="1">
      <c r="B30" s="18" t="inlineStr">
        <is>
          <t>📊 Dashboard</t>
        </is>
      </c>
      <c r="C30" s="19" t="inlineStr">
        <is>
          <t>Visual KPIs, 50/30/20 analysis, budget vs actual</t>
        </is>
      </c>
      <c r="D30" s="13" t="n"/>
      <c r="E30" s="14" t="n"/>
    </row>
    <row r="31" ht="22" customHeight="1">
      <c r="B31" s="18" t="inlineStr">
        <is>
          <t>🎯 Savings Goals</t>
        </is>
      </c>
      <c r="C31" s="19" t="inlineStr">
        <is>
          <t>Track progress toward your savings targets</t>
        </is>
      </c>
      <c r="D31" s="13" t="n"/>
      <c r="E31" s="14" t="n"/>
    </row>
    <row r="32" ht="22" customHeight="1">
      <c r="B32" s="18" t="inlineStr">
        <is>
          <t>💸 Debt Tracker</t>
        </is>
      </c>
      <c r="C32" s="19" t="inlineStr">
        <is>
          <t>Monitor balances and payoff timelines</t>
        </is>
      </c>
      <c r="D32" s="13" t="n"/>
      <c r="E32" s="14" t="n"/>
    </row>
    <row r="33" ht="22" customHeight="1">
      <c r="B33" s="18" t="inlineStr">
        <is>
          <t>📅 Annual Overview</t>
        </is>
      </c>
      <c r="C33" s="19" t="inlineStr">
        <is>
          <t>Full-year income &amp; expense summary</t>
        </is>
      </c>
      <c r="D33" s="13" t="n"/>
      <c r="E33" s="14" t="n"/>
    </row>
    <row r="34" ht="22" customHeight="1">
      <c r="B34" s="18" t="inlineStr">
        <is>
          <t>🗓  Monthly Calendar</t>
        </is>
      </c>
      <c r="C34" s="19" t="inlineStr">
        <is>
          <t>Bill due dates and income dates for January 2026</t>
        </is>
      </c>
      <c r="D34" s="13" t="n"/>
      <c r="E34" s="14" t="n"/>
    </row>
    <row r="35" ht="22" customHeight="1"/>
    <row r="36" ht="22" customHeight="1">
      <c r="B36" s="20" t="inlineStr">
        <is>
          <t>Compatible with Google Sheets &amp; Excel  |  Digital Download  |  Personal Use</t>
        </is>
      </c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37">
    <mergeCell ref="C16:E16"/>
    <mergeCell ref="B9"/>
    <mergeCell ref="C31:E31"/>
    <mergeCell ref="B6:E6"/>
    <mergeCell ref="B24:E24"/>
    <mergeCell ref="C12:E12"/>
    <mergeCell ref="B36:E36"/>
    <mergeCell ref="C7:C9"/>
    <mergeCell ref="B4:E4"/>
    <mergeCell ref="E7:E9"/>
    <mergeCell ref="B7"/>
    <mergeCell ref="C17:E17"/>
    <mergeCell ref="B7:B9"/>
    <mergeCell ref="B3:E3"/>
    <mergeCell ref="B25:E25"/>
    <mergeCell ref="B22:E22"/>
    <mergeCell ref="C32:E32"/>
    <mergeCell ref="B27:E27"/>
    <mergeCell ref="C28:E28"/>
    <mergeCell ref="B12"/>
    <mergeCell ref="C13:E13"/>
    <mergeCell ref="C19:E19"/>
    <mergeCell ref="B21:E21"/>
    <mergeCell ref="B11"/>
    <mergeCell ref="C18:E18"/>
    <mergeCell ref="B11:E11"/>
    <mergeCell ref="B2:E2"/>
    <mergeCell ref="C30:E30"/>
    <mergeCell ref="C34:E34"/>
    <mergeCell ref="C15:E15"/>
    <mergeCell ref="B8"/>
    <mergeCell ref="B23:E23"/>
    <mergeCell ref="C33:E33"/>
    <mergeCell ref="C14:E14"/>
    <mergeCell ref="D7:D9"/>
    <mergeCell ref="B10"/>
    <mergeCell ref="C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/>
  </sheetPr>
  <dimension ref="B2:D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8" customWidth="1" min="4" max="4"/>
    <col width="3" customWidth="1" min="5" max="5"/>
  </cols>
  <sheetData>
    <row r="1" ht="8" customHeight="1"/>
    <row r="2" ht="40" customHeight="1">
      <c r="B2" s="21" t="inlineStr">
        <is>
          <t>CATEGORY SETUP</t>
        </is>
      </c>
    </row>
    <row r="3" ht="22" customHeight="1">
      <c r="B3" s="22" t="inlineStr">
        <is>
          <t>Set your budget targets below — yellow cells are yours to edit</t>
        </is>
      </c>
    </row>
    <row r="4" ht="22" customHeight="1"/>
    <row r="5" ht="22" customHeight="1">
      <c r="B5" s="23" t="inlineStr">
        <is>
          <t>EXPENSE CATEGORIES</t>
        </is>
      </c>
    </row>
    <row r="6" ht="22" customHeight="1">
      <c r="B6" s="24" t="inlineStr">
        <is>
          <t>Category</t>
        </is>
      </c>
      <c r="C6" s="24" t="inlineStr">
        <is>
          <t>Budget Type (Need/Want/Savings)</t>
        </is>
      </c>
      <c r="D6" s="24" t="inlineStr">
        <is>
          <t>Monthly Target ($)</t>
        </is>
      </c>
    </row>
    <row r="7" ht="22" customHeight="1">
      <c r="B7" s="19" t="inlineStr">
        <is>
          <t>Housing</t>
        </is>
      </c>
      <c r="C7" s="25" t="inlineStr">
        <is>
          <t>Need</t>
        </is>
      </c>
      <c r="D7" s="26" t="n">
        <v>2000</v>
      </c>
    </row>
    <row r="8" ht="22" customHeight="1">
      <c r="B8" s="19" t="inlineStr">
        <is>
          <t>Utilities</t>
        </is>
      </c>
      <c r="C8" s="25" t="inlineStr">
        <is>
          <t>Need</t>
        </is>
      </c>
      <c r="D8" s="26" t="n">
        <v>180</v>
      </c>
    </row>
    <row r="9" ht="22" customHeight="1">
      <c r="B9" s="19" t="inlineStr">
        <is>
          <t>Groceries</t>
        </is>
      </c>
      <c r="C9" s="25" t="inlineStr">
        <is>
          <t>Need</t>
        </is>
      </c>
      <c r="D9" s="26" t="n">
        <v>500</v>
      </c>
    </row>
    <row r="10" ht="22" customHeight="1">
      <c r="B10" s="19" t="inlineStr">
        <is>
          <t>Transportation</t>
        </is>
      </c>
      <c r="C10" s="25" t="inlineStr">
        <is>
          <t>Need</t>
        </is>
      </c>
      <c r="D10" s="26" t="n">
        <v>350</v>
      </c>
    </row>
    <row r="11" ht="22" customHeight="1">
      <c r="B11" s="19" t="inlineStr">
        <is>
          <t>Insurance</t>
        </is>
      </c>
      <c r="C11" s="25" t="inlineStr">
        <is>
          <t>Need</t>
        </is>
      </c>
      <c r="D11" s="26" t="n">
        <v>250</v>
      </c>
    </row>
    <row r="12" ht="22" customHeight="1">
      <c r="B12" s="19" t="inlineStr">
        <is>
          <t>Healthcare</t>
        </is>
      </c>
      <c r="C12" s="25" t="inlineStr">
        <is>
          <t>Need</t>
        </is>
      </c>
      <c r="D12" s="26" t="n">
        <v>150</v>
      </c>
    </row>
    <row r="13" ht="22" customHeight="1">
      <c r="B13" s="19" t="inlineStr">
        <is>
          <t>Dining Out</t>
        </is>
      </c>
      <c r="C13" s="27" t="inlineStr">
        <is>
          <t>Want</t>
        </is>
      </c>
      <c r="D13" s="26" t="n">
        <v>200</v>
      </c>
    </row>
    <row r="14" ht="22" customHeight="1">
      <c r="B14" s="19" t="inlineStr">
        <is>
          <t>Entertainment</t>
        </is>
      </c>
      <c r="C14" s="27" t="inlineStr">
        <is>
          <t>Want</t>
        </is>
      </c>
      <c r="D14" s="26" t="n">
        <v>100</v>
      </c>
    </row>
    <row r="15" ht="22" customHeight="1">
      <c r="B15" s="19" t="inlineStr">
        <is>
          <t>Shopping</t>
        </is>
      </c>
      <c r="C15" s="27" t="inlineStr">
        <is>
          <t>Want</t>
        </is>
      </c>
      <c r="D15" s="26" t="n">
        <v>150</v>
      </c>
    </row>
    <row r="16" ht="22" customHeight="1">
      <c r="B16" s="19" t="inlineStr">
        <is>
          <t>Travel</t>
        </is>
      </c>
      <c r="C16" s="27" t="inlineStr">
        <is>
          <t>Want</t>
        </is>
      </c>
      <c r="D16" s="26" t="n">
        <v>100</v>
      </c>
    </row>
    <row r="17" ht="22" customHeight="1">
      <c r="B17" s="19" t="inlineStr">
        <is>
          <t>Hobbies</t>
        </is>
      </c>
      <c r="C17" s="27" t="inlineStr">
        <is>
          <t>Want</t>
        </is>
      </c>
      <c r="D17" s="26" t="n">
        <v>80</v>
      </c>
    </row>
    <row r="18" ht="22" customHeight="1">
      <c r="B18" s="19" t="inlineStr">
        <is>
          <t>Subscriptions</t>
        </is>
      </c>
      <c r="C18" s="27" t="inlineStr">
        <is>
          <t>Want</t>
        </is>
      </c>
      <c r="D18" s="26" t="n">
        <v>60</v>
      </c>
    </row>
    <row r="19" ht="22" customHeight="1">
      <c r="B19" s="19" t="inlineStr">
        <is>
          <t>Emergency Fund</t>
        </is>
      </c>
      <c r="C19" s="28" t="inlineStr">
        <is>
          <t>Savings</t>
        </is>
      </c>
      <c r="D19" s="26" t="n">
        <v>300</v>
      </c>
    </row>
    <row r="20" ht="22" customHeight="1">
      <c r="B20" s="19" t="inlineStr">
        <is>
          <t>Retirement</t>
        </is>
      </c>
      <c r="C20" s="28" t="inlineStr">
        <is>
          <t>Savings</t>
        </is>
      </c>
      <c r="D20" s="26" t="n">
        <v>400</v>
      </c>
    </row>
    <row r="21" ht="22" customHeight="1">
      <c r="B21" s="19" t="inlineStr">
        <is>
          <t>Investments</t>
        </is>
      </c>
      <c r="C21" s="28" t="inlineStr">
        <is>
          <t>Savings</t>
        </is>
      </c>
      <c r="D21" s="26" t="n">
        <v>200</v>
      </c>
    </row>
    <row r="22" ht="22" customHeight="1">
      <c r="B22" s="19" t="inlineStr">
        <is>
          <t>Debt Payment</t>
        </is>
      </c>
      <c r="C22" s="25" t="inlineStr">
        <is>
          <t>Need</t>
        </is>
      </c>
      <c r="D22" s="26" t="n">
        <v>500</v>
      </c>
    </row>
    <row r="23" ht="22" customHeight="1">
      <c r="B23" s="19" t="inlineStr">
        <is>
          <t>Education</t>
        </is>
      </c>
      <c r="C23" s="27" t="inlineStr">
        <is>
          <t>Want</t>
        </is>
      </c>
      <c r="D23" s="26" t="n">
        <v>100</v>
      </c>
    </row>
    <row r="24" ht="22" customHeight="1">
      <c r="B24" s="19" t="inlineStr">
        <is>
          <t>Gifts/Donations</t>
        </is>
      </c>
      <c r="C24" s="27" t="inlineStr">
        <is>
          <t>Want</t>
        </is>
      </c>
      <c r="D24" s="26" t="n">
        <v>80</v>
      </c>
    </row>
    <row r="25" ht="22" customHeight="1"/>
    <row r="26" ht="22" customHeight="1">
      <c r="B26" s="29" t="inlineStr">
        <is>
          <t>TOTAL BUDGET TARGET</t>
        </is>
      </c>
      <c r="C26" s="30" t="inlineStr"/>
      <c r="D26" s="31">
        <f>SUM(D7:D24)</f>
        <v/>
      </c>
    </row>
    <row r="27" ht="22" customHeight="1"/>
    <row r="28" ht="22" customHeight="1">
      <c r="B28" s="23" t="inlineStr">
        <is>
          <t>INCOME CATEGORIES</t>
        </is>
      </c>
    </row>
    <row r="29" ht="22" customHeight="1">
      <c r="B29" s="32" t="inlineStr">
        <is>
          <t>Income Source</t>
        </is>
      </c>
      <c r="C29" s="32" t="inlineStr">
        <is>
          <t>Type</t>
        </is>
      </c>
      <c r="D29" s="32" t="inlineStr">
        <is>
          <t>Monthly Expected ($)</t>
        </is>
      </c>
    </row>
    <row r="30" ht="22" customHeight="1">
      <c r="B30" s="19" t="inlineStr">
        <is>
          <t>Salary</t>
        </is>
      </c>
      <c r="C30" s="33" t="inlineStr">
        <is>
          <t>Primary</t>
        </is>
      </c>
      <c r="D30" s="26" t="n">
        <v>5500</v>
      </c>
    </row>
    <row r="31" ht="22" customHeight="1">
      <c r="B31" s="19" t="inlineStr">
        <is>
          <t>Side Hustle</t>
        </is>
      </c>
      <c r="C31" s="33" t="inlineStr">
        <is>
          <t>Secondary</t>
        </is>
      </c>
      <c r="D31" s="26" t="n">
        <v>500</v>
      </c>
    </row>
    <row r="32" ht="22" customHeight="1">
      <c r="B32" s="19" t="inlineStr">
        <is>
          <t>Investments</t>
        </is>
      </c>
      <c r="C32" s="33" t="inlineStr">
        <is>
          <t>Passive</t>
        </is>
      </c>
      <c r="D32" s="26" t="n">
        <v>200</v>
      </c>
    </row>
    <row r="33" ht="22" customHeight="1">
      <c r="B33" s="19" t="inlineStr">
        <is>
          <t>Freelance</t>
        </is>
      </c>
      <c r="C33" s="33" t="inlineStr">
        <is>
          <t>Variable</t>
        </is>
      </c>
      <c r="D33" s="26" t="n">
        <v>300</v>
      </c>
    </row>
    <row r="34" ht="22" customHeight="1">
      <c r="B34" s="19" t="inlineStr">
        <is>
          <t>Other</t>
        </is>
      </c>
      <c r="C34" s="33" t="inlineStr">
        <is>
          <t>Variable</t>
        </is>
      </c>
      <c r="D34" s="26" t="n">
        <v>100</v>
      </c>
    </row>
    <row r="35" ht="22" customHeight="1"/>
    <row r="36" ht="22" customHeight="1">
      <c r="B36" s="29" t="inlineStr">
        <is>
          <t>TOTAL EXPECTED INCOME</t>
        </is>
      </c>
      <c r="C36" s="30" t="inlineStr"/>
      <c r="D36" s="34">
        <f>SUM(D30:D34)</f>
        <v/>
      </c>
    </row>
    <row r="37" ht="22" customHeight="1">
      <c r="B37" s="29" t="inlineStr">
        <is>
          <t>PROJECTED MONTHLY SURPLUS</t>
        </is>
      </c>
      <c r="C37" s="30" t="inlineStr"/>
      <c r="D37" s="35">
        <f>D36-D26</f>
        <v/>
      </c>
    </row>
    <row r="38" ht="22" customHeight="1"/>
    <row r="39" ht="22" customHeight="1">
      <c r="B39" s="36" t="inlineStr">
        <is>
          <t>COLOR LEGEND</t>
        </is>
      </c>
    </row>
    <row r="40" ht="22" customHeight="1">
      <c r="B40" s="37" t="inlineStr">
        <is>
          <t xml:space="preserve">  ■</t>
        </is>
      </c>
      <c r="C40" s="38" t="inlineStr">
        <is>
          <t>Need — essential expenses (target: ~50% of income)</t>
        </is>
      </c>
    </row>
    <row r="41" ht="22" customHeight="1">
      <c r="B41" s="39" t="inlineStr">
        <is>
          <t xml:space="preserve">  ■</t>
        </is>
      </c>
      <c r="C41" s="38" t="inlineStr">
        <is>
          <t>Want — lifestyle spending (target: ~30% of income)</t>
        </is>
      </c>
    </row>
    <row r="42" ht="22" customHeight="1">
      <c r="B42" s="40" t="inlineStr">
        <is>
          <t xml:space="preserve">  ■</t>
        </is>
      </c>
      <c r="C42" s="38" t="inlineStr">
        <is>
          <t>Savings — future &amp; goals (target: ~20% of income)</t>
        </is>
      </c>
    </row>
    <row r="43" ht="22" customHeight="1">
      <c r="B43" s="41" t="inlineStr">
        <is>
          <t xml:space="preserve">  ■</t>
        </is>
      </c>
      <c r="C43" s="38" t="inlineStr">
        <is>
          <t>Yellow cells = your data to edit</t>
        </is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9">
    <mergeCell ref="B28:D28"/>
    <mergeCell ref="C43:D43"/>
    <mergeCell ref="B3:D3"/>
    <mergeCell ref="B5:D5"/>
    <mergeCell ref="C41:D41"/>
    <mergeCell ref="C42:D42"/>
    <mergeCell ref="C40:D40"/>
    <mergeCell ref="B39:D39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A261"/>
    <outlinePr summaryBelow="1" summaryRight="1"/>
    <pageSetUpPr/>
  </sheetPr>
  <dimension ref="A1:H2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6" customWidth="1" min="6" max="6"/>
    <col width="10" customWidth="1" min="7" max="7"/>
    <col width="22" customWidth="1" min="8" max="8"/>
  </cols>
  <sheetData>
    <row r="1" ht="8" customHeight="1">
      <c r="A1" s="42" t="n">
        <v>6</v>
      </c>
    </row>
    <row r="2" ht="38" customHeight="1">
      <c r="A2" s="43" t="inlineStr">
        <is>
          <t>MONTHLY TRANSACTION TRACKER</t>
        </is>
      </c>
    </row>
    <row r="3" ht="22" customHeight="1">
      <c r="A3" s="44" t="inlineStr">
        <is>
          <t>Enter each income or expense below — totals calculate automatically</t>
        </is>
      </c>
    </row>
    <row r="4" ht="8" customHeight="1"/>
    <row r="5" ht="32" customHeight="1">
      <c r="A5" s="45" t="inlineStr">
        <is>
          <t>Date</t>
        </is>
      </c>
      <c r="B5" s="45" t="inlineStr">
        <is>
          <t>Type
(Income/Expense)</t>
        </is>
      </c>
      <c r="C5" s="45" t="inlineStr">
        <is>
          <t>Category</t>
        </is>
      </c>
      <c r="D5" s="45" t="inlineStr">
        <is>
          <t>Description</t>
        </is>
      </c>
      <c r="E5" s="45" t="inlineStr">
        <is>
          <t>Amount ($)</t>
        </is>
      </c>
      <c r="F5" s="45" t="inlineStr">
        <is>
          <t>Payment Method</t>
        </is>
      </c>
      <c r="G5" s="45" t="inlineStr">
        <is>
          <t>Month</t>
        </is>
      </c>
      <c r="H5" s="45" t="inlineStr">
        <is>
          <t>Notes</t>
        </is>
      </c>
    </row>
    <row r="6" ht="20" customHeight="1">
      <c r="A6" s="46" t="inlineStr">
        <is>
          <t>2026-01-05</t>
        </is>
      </c>
      <c r="B6" s="47" t="inlineStr">
        <is>
          <t>Income</t>
        </is>
      </c>
      <c r="C6" s="48" t="inlineStr">
        <is>
          <t>Salary</t>
        </is>
      </c>
      <c r="D6" s="49" t="inlineStr">
        <is>
          <t>January Paycheck</t>
        </is>
      </c>
      <c r="E6" s="50" t="n">
        <v>5500</v>
      </c>
      <c r="F6" s="46" t="inlineStr">
        <is>
          <t>Direct Deposit</t>
        </is>
      </c>
      <c r="G6" s="46" t="inlineStr">
        <is>
          <t>January</t>
        </is>
      </c>
      <c r="H6" s="49" t="inlineStr"/>
    </row>
    <row r="7" ht="20" customHeight="1">
      <c r="A7" s="51" t="inlineStr">
        <is>
          <t>2026-01-05</t>
        </is>
      </c>
      <c r="B7" s="52" t="inlineStr">
        <is>
          <t>Expense</t>
        </is>
      </c>
      <c r="C7" s="53" t="inlineStr">
        <is>
          <t>Housing</t>
        </is>
      </c>
      <c r="D7" s="54" t="inlineStr">
        <is>
          <t>Rent — January</t>
        </is>
      </c>
      <c r="E7" s="55" t="n">
        <v>2000</v>
      </c>
      <c r="F7" s="51" t="inlineStr">
        <is>
          <t>Bank Transfer</t>
        </is>
      </c>
      <c r="G7" s="51" t="inlineStr">
        <is>
          <t>January</t>
        </is>
      </c>
      <c r="H7" s="54" t="inlineStr">
        <is>
          <t>Monthly rent</t>
        </is>
      </c>
    </row>
    <row r="8" ht="20" customHeight="1">
      <c r="A8" s="51" t="inlineStr">
        <is>
          <t>2026-01-05</t>
        </is>
      </c>
      <c r="B8" s="52" t="inlineStr">
        <is>
          <t>Expense</t>
        </is>
      </c>
      <c r="C8" s="53" t="inlineStr">
        <is>
          <t>Insurance</t>
        </is>
      </c>
      <c r="D8" s="54" t="inlineStr">
        <is>
          <t>Renters Insurance</t>
        </is>
      </c>
      <c r="E8" s="55" t="n">
        <v>125</v>
      </c>
      <c r="F8" s="51" t="inlineStr">
        <is>
          <t>Auto-Pay</t>
        </is>
      </c>
      <c r="G8" s="51" t="inlineStr">
        <is>
          <t>January</t>
        </is>
      </c>
      <c r="H8" s="54" t="inlineStr"/>
    </row>
    <row r="9" ht="20" customHeight="1">
      <c r="A9" s="51" t="inlineStr">
        <is>
          <t>2026-01-07</t>
        </is>
      </c>
      <c r="B9" s="52" t="inlineStr">
        <is>
          <t>Expense</t>
        </is>
      </c>
      <c r="C9" s="53" t="inlineStr">
        <is>
          <t>Groceries</t>
        </is>
      </c>
      <c r="D9" s="54" t="inlineStr">
        <is>
          <t>Whole Foods weekly shop</t>
        </is>
      </c>
      <c r="E9" s="55" t="n">
        <v>127.43</v>
      </c>
      <c r="F9" s="51" t="inlineStr">
        <is>
          <t>Debit Card</t>
        </is>
      </c>
      <c r="G9" s="51" t="inlineStr">
        <is>
          <t>January</t>
        </is>
      </c>
      <c r="H9" s="54" t="inlineStr"/>
    </row>
    <row r="10" ht="20" customHeight="1">
      <c r="A10" s="51" t="inlineStr">
        <is>
          <t>2026-01-08</t>
        </is>
      </c>
      <c r="B10" s="52" t="inlineStr">
        <is>
          <t>Expense</t>
        </is>
      </c>
      <c r="C10" s="53" t="inlineStr">
        <is>
          <t>Utilities</t>
        </is>
      </c>
      <c r="D10" s="54" t="inlineStr">
        <is>
          <t>Electric bill</t>
        </is>
      </c>
      <c r="E10" s="55" t="n">
        <v>94.2</v>
      </c>
      <c r="F10" s="51" t="inlineStr">
        <is>
          <t>Auto-Pay</t>
        </is>
      </c>
      <c r="G10" s="51" t="inlineStr">
        <is>
          <t>January</t>
        </is>
      </c>
      <c r="H10" s="54" t="inlineStr"/>
    </row>
    <row r="11" ht="20" customHeight="1">
      <c r="A11" s="51" t="inlineStr">
        <is>
          <t>2026-01-10</t>
        </is>
      </c>
      <c r="B11" s="52" t="inlineStr">
        <is>
          <t>Expense</t>
        </is>
      </c>
      <c r="C11" s="53" t="inlineStr">
        <is>
          <t>Transportation</t>
        </is>
      </c>
      <c r="D11" s="54" t="inlineStr">
        <is>
          <t>Subway monthly pass</t>
        </is>
      </c>
      <c r="E11" s="55" t="n">
        <v>132</v>
      </c>
      <c r="F11" s="51" t="inlineStr">
        <is>
          <t>Credit Card</t>
        </is>
      </c>
      <c r="G11" s="51" t="inlineStr">
        <is>
          <t>January</t>
        </is>
      </c>
      <c r="H11" s="54" t="inlineStr"/>
    </row>
    <row r="12" ht="20" customHeight="1">
      <c r="A12" s="51" t="inlineStr">
        <is>
          <t>2026-01-12</t>
        </is>
      </c>
      <c r="B12" s="52" t="inlineStr">
        <is>
          <t>Expense</t>
        </is>
      </c>
      <c r="C12" s="53" t="inlineStr">
        <is>
          <t>Dining Out</t>
        </is>
      </c>
      <c r="D12" s="54" t="inlineStr">
        <is>
          <t>Dinner with friends</t>
        </is>
      </c>
      <c r="E12" s="55" t="n">
        <v>68.5</v>
      </c>
      <c r="F12" s="51" t="inlineStr">
        <is>
          <t>Credit Card</t>
        </is>
      </c>
      <c r="G12" s="51" t="inlineStr">
        <is>
          <t>January</t>
        </is>
      </c>
      <c r="H12" s="54" t="inlineStr"/>
    </row>
    <row r="13" ht="20" customHeight="1">
      <c r="A13" s="51" t="inlineStr">
        <is>
          <t>2026-01-14</t>
        </is>
      </c>
      <c r="B13" s="52" t="inlineStr">
        <is>
          <t>Expense</t>
        </is>
      </c>
      <c r="C13" s="53" t="inlineStr">
        <is>
          <t>Subscriptions</t>
        </is>
      </c>
      <c r="D13" s="54" t="inlineStr">
        <is>
          <t>Netflix + Spotify</t>
        </is>
      </c>
      <c r="E13" s="55" t="n">
        <v>26.98</v>
      </c>
      <c r="F13" s="51" t="inlineStr">
        <is>
          <t>Credit Card</t>
        </is>
      </c>
      <c r="G13" s="51" t="inlineStr">
        <is>
          <t>January</t>
        </is>
      </c>
      <c r="H13" s="54" t="inlineStr"/>
    </row>
    <row r="14" ht="20" customHeight="1">
      <c r="A14" s="46" t="inlineStr">
        <is>
          <t>2026-01-15</t>
        </is>
      </c>
      <c r="B14" s="47" t="inlineStr">
        <is>
          <t>Income</t>
        </is>
      </c>
      <c r="C14" s="48" t="inlineStr">
        <is>
          <t>Freelance</t>
        </is>
      </c>
      <c r="D14" s="49" t="inlineStr">
        <is>
          <t>Website design project</t>
        </is>
      </c>
      <c r="E14" s="50" t="n">
        <v>350</v>
      </c>
      <c r="F14" s="46" t="inlineStr">
        <is>
          <t>PayPal</t>
        </is>
      </c>
      <c r="G14" s="46" t="inlineStr">
        <is>
          <t>January</t>
        </is>
      </c>
      <c r="H14" s="49" t="inlineStr"/>
    </row>
    <row r="15" ht="20" customHeight="1">
      <c r="A15" s="51" t="inlineStr">
        <is>
          <t>2026-01-16</t>
        </is>
      </c>
      <c r="B15" s="52" t="inlineStr">
        <is>
          <t>Expense</t>
        </is>
      </c>
      <c r="C15" s="53" t="inlineStr">
        <is>
          <t>Groceries</t>
        </is>
      </c>
      <c r="D15" s="54" t="inlineStr">
        <is>
          <t>Trader Joe's</t>
        </is>
      </c>
      <c r="E15" s="55" t="n">
        <v>89.65000000000001</v>
      </c>
      <c r="F15" s="51" t="inlineStr">
        <is>
          <t>Debit Card</t>
        </is>
      </c>
      <c r="G15" s="51" t="inlineStr">
        <is>
          <t>January</t>
        </is>
      </c>
      <c r="H15" s="54" t="inlineStr"/>
    </row>
    <row r="16" ht="20" customHeight="1">
      <c r="A16" s="51" t="inlineStr">
        <is>
          <t>2026-01-18</t>
        </is>
      </c>
      <c r="B16" s="52" t="inlineStr">
        <is>
          <t>Expense</t>
        </is>
      </c>
      <c r="C16" s="53" t="inlineStr">
        <is>
          <t>Entertainment</t>
        </is>
      </c>
      <c r="D16" s="54" t="inlineStr">
        <is>
          <t>Movie tickets x2</t>
        </is>
      </c>
      <c r="E16" s="55" t="n">
        <v>28</v>
      </c>
      <c r="F16" s="51" t="inlineStr">
        <is>
          <t>Credit Card</t>
        </is>
      </c>
      <c r="G16" s="51" t="inlineStr">
        <is>
          <t>January</t>
        </is>
      </c>
      <c r="H16" s="54" t="inlineStr"/>
    </row>
    <row r="17" ht="20" customHeight="1">
      <c r="A17" s="51" t="inlineStr">
        <is>
          <t>2026-01-20</t>
        </is>
      </c>
      <c r="B17" s="52" t="inlineStr">
        <is>
          <t>Expense</t>
        </is>
      </c>
      <c r="C17" s="53" t="inlineStr">
        <is>
          <t>Emergency Fund</t>
        </is>
      </c>
      <c r="D17" s="54" t="inlineStr">
        <is>
          <t>Monthly savings transfer</t>
        </is>
      </c>
      <c r="E17" s="55" t="n">
        <v>300</v>
      </c>
      <c r="F17" s="51" t="inlineStr">
        <is>
          <t>Bank Transfer</t>
        </is>
      </c>
      <c r="G17" s="51" t="inlineStr">
        <is>
          <t>January</t>
        </is>
      </c>
      <c r="H17" s="54" t="inlineStr">
        <is>
          <t>Automated</t>
        </is>
      </c>
    </row>
    <row r="18" ht="20" customHeight="1">
      <c r="A18" s="51" t="inlineStr">
        <is>
          <t>2026-01-22</t>
        </is>
      </c>
      <c r="B18" s="52" t="inlineStr">
        <is>
          <t>Expense</t>
        </is>
      </c>
      <c r="C18" s="53" t="inlineStr">
        <is>
          <t>Healthcare</t>
        </is>
      </c>
      <c r="D18" s="54" t="inlineStr">
        <is>
          <t>Prescription refill</t>
        </is>
      </c>
      <c r="E18" s="55" t="n">
        <v>42</v>
      </c>
      <c r="F18" s="51" t="inlineStr">
        <is>
          <t>Debit Card</t>
        </is>
      </c>
      <c r="G18" s="51" t="inlineStr">
        <is>
          <t>January</t>
        </is>
      </c>
      <c r="H18" s="54" t="inlineStr"/>
    </row>
    <row r="19" ht="20" customHeight="1">
      <c r="A19" s="51" t="inlineStr">
        <is>
          <t>2026-01-25</t>
        </is>
      </c>
      <c r="B19" s="52" t="inlineStr">
        <is>
          <t>Expense</t>
        </is>
      </c>
      <c r="C19" s="53" t="inlineStr">
        <is>
          <t>Shopping</t>
        </is>
      </c>
      <c r="D19" s="54" t="inlineStr">
        <is>
          <t>Amazon — household items</t>
        </is>
      </c>
      <c r="E19" s="55" t="n">
        <v>56.99</v>
      </c>
      <c r="F19" s="51" t="inlineStr">
        <is>
          <t>Credit Card</t>
        </is>
      </c>
      <c r="G19" s="51" t="inlineStr">
        <is>
          <t>January</t>
        </is>
      </c>
      <c r="H19" s="54" t="inlineStr"/>
    </row>
    <row r="20" ht="20" customHeight="1">
      <c r="A20" s="51" t="inlineStr">
        <is>
          <t>2026-01-30</t>
        </is>
      </c>
      <c r="B20" s="52" t="inlineStr">
        <is>
          <t>Expense</t>
        </is>
      </c>
      <c r="C20" s="53" t="inlineStr">
        <is>
          <t>Debt Payment</t>
        </is>
      </c>
      <c r="D20" s="54" t="inlineStr">
        <is>
          <t>Student loan payment</t>
        </is>
      </c>
      <c r="E20" s="55" t="n">
        <v>350</v>
      </c>
      <c r="F20" s="51" t="inlineStr">
        <is>
          <t>Auto-Pay</t>
        </is>
      </c>
      <c r="G20" s="51" t="inlineStr">
        <is>
          <t>January</t>
        </is>
      </c>
      <c r="H20" s="54" t="inlineStr"/>
    </row>
    <row r="21" ht="20" customHeight="1">
      <c r="A21" s="56" t="n"/>
      <c r="B21" s="30" t="n"/>
      <c r="C21" s="30" t="n"/>
      <c r="D21" s="57" t="n"/>
      <c r="E21" s="58" t="n"/>
      <c r="F21" s="56" t="n"/>
      <c r="G21" s="56" t="n"/>
      <c r="H21" s="30" t="n"/>
    </row>
    <row r="22" ht="20" customHeight="1">
      <c r="A22" s="33" t="n"/>
      <c r="B22" s="19" t="n"/>
      <c r="C22" s="19" t="n"/>
      <c r="D22" s="12" t="n"/>
      <c r="E22" s="59" t="n"/>
      <c r="F22" s="33" t="n"/>
      <c r="G22" s="33" t="n"/>
      <c r="H22" s="19" t="n"/>
    </row>
    <row r="23" ht="20" customHeight="1">
      <c r="A23" s="56" t="n"/>
      <c r="B23" s="30" t="n"/>
      <c r="C23" s="30" t="n"/>
      <c r="D23" s="57" t="n"/>
      <c r="E23" s="58" t="n"/>
      <c r="F23" s="56" t="n"/>
      <c r="G23" s="56" t="n"/>
      <c r="H23" s="30" t="n"/>
    </row>
    <row r="24" ht="20" customHeight="1">
      <c r="A24" s="33" t="n"/>
      <c r="B24" s="19" t="n"/>
      <c r="C24" s="19" t="n"/>
      <c r="D24" s="12" t="n"/>
      <c r="E24" s="59" t="n"/>
      <c r="F24" s="33" t="n"/>
      <c r="G24" s="33" t="n"/>
      <c r="H24" s="19" t="n"/>
    </row>
    <row r="25" ht="20" customHeight="1">
      <c r="A25" s="56" t="n"/>
      <c r="B25" s="30" t="n"/>
      <c r="C25" s="30" t="n"/>
      <c r="D25" s="57" t="n"/>
      <c r="E25" s="58" t="n"/>
      <c r="F25" s="56" t="n"/>
      <c r="G25" s="56" t="n"/>
      <c r="H25" s="30" t="n"/>
    </row>
    <row r="26" ht="20" customHeight="1">
      <c r="A26" s="33" t="n"/>
      <c r="B26" s="19" t="n"/>
      <c r="C26" s="19" t="n"/>
      <c r="D26" s="12" t="n"/>
      <c r="E26" s="59" t="n"/>
      <c r="F26" s="33" t="n"/>
      <c r="G26" s="33" t="n"/>
      <c r="H26" s="19" t="n"/>
    </row>
    <row r="27" ht="20" customHeight="1">
      <c r="A27" s="56" t="n"/>
      <c r="B27" s="30" t="n"/>
      <c r="C27" s="30" t="n"/>
      <c r="D27" s="57" t="n"/>
      <c r="E27" s="58" t="n"/>
      <c r="F27" s="56" t="n"/>
      <c r="G27" s="56" t="n"/>
      <c r="H27" s="30" t="n"/>
    </row>
    <row r="28" ht="20" customHeight="1">
      <c r="A28" s="33" t="n"/>
      <c r="B28" s="19" t="n"/>
      <c r="C28" s="19" t="n"/>
      <c r="D28" s="12" t="n"/>
      <c r="E28" s="59" t="n"/>
      <c r="F28" s="33" t="n"/>
      <c r="G28" s="33" t="n"/>
      <c r="H28" s="19" t="n"/>
    </row>
    <row r="29" ht="20" customHeight="1">
      <c r="A29" s="56" t="n"/>
      <c r="B29" s="30" t="n"/>
      <c r="C29" s="30" t="n"/>
      <c r="D29" s="57" t="n"/>
      <c r="E29" s="58" t="n"/>
      <c r="F29" s="56" t="n"/>
      <c r="G29" s="56" t="n"/>
      <c r="H29" s="30" t="n"/>
    </row>
    <row r="30" ht="20" customHeight="1">
      <c r="A30" s="33" t="n"/>
      <c r="B30" s="19" t="n"/>
      <c r="C30" s="19" t="n"/>
      <c r="D30" s="12" t="n"/>
      <c r="E30" s="59" t="n"/>
      <c r="F30" s="33" t="n"/>
      <c r="G30" s="33" t="n"/>
      <c r="H30" s="19" t="n"/>
    </row>
    <row r="31" ht="20" customHeight="1">
      <c r="A31" s="56" t="n"/>
      <c r="B31" s="30" t="n"/>
      <c r="C31" s="30" t="n"/>
      <c r="D31" s="57" t="n"/>
      <c r="E31" s="58" t="n"/>
      <c r="F31" s="56" t="n"/>
      <c r="G31" s="56" t="n"/>
      <c r="H31" s="30" t="n"/>
    </row>
    <row r="32" ht="20" customHeight="1">
      <c r="A32" s="33" t="n"/>
      <c r="B32" s="19" t="n"/>
      <c r="C32" s="19" t="n"/>
      <c r="D32" s="12" t="n"/>
      <c r="E32" s="59" t="n"/>
      <c r="F32" s="33" t="n"/>
      <c r="G32" s="33" t="n"/>
      <c r="H32" s="19" t="n"/>
    </row>
    <row r="33" ht="20" customHeight="1">
      <c r="A33" s="56" t="n"/>
      <c r="B33" s="30" t="n"/>
      <c r="C33" s="30" t="n"/>
      <c r="D33" s="57" t="n"/>
      <c r="E33" s="58" t="n"/>
      <c r="F33" s="56" t="n"/>
      <c r="G33" s="56" t="n"/>
      <c r="H33" s="30" t="n"/>
    </row>
    <row r="34" ht="20" customHeight="1">
      <c r="A34" s="33" t="n"/>
      <c r="B34" s="19" t="n"/>
      <c r="C34" s="19" t="n"/>
      <c r="D34" s="12" t="n"/>
      <c r="E34" s="59" t="n"/>
      <c r="F34" s="33" t="n"/>
      <c r="G34" s="33" t="n"/>
      <c r="H34" s="19" t="n"/>
    </row>
    <row r="35" ht="20" customHeight="1">
      <c r="A35" s="56" t="n"/>
      <c r="B35" s="30" t="n"/>
      <c r="C35" s="30" t="n"/>
      <c r="D35" s="57" t="n"/>
      <c r="E35" s="58" t="n"/>
      <c r="F35" s="56" t="n"/>
      <c r="G35" s="56" t="n"/>
      <c r="H35" s="30" t="n"/>
    </row>
    <row r="36" ht="20" customHeight="1">
      <c r="A36" s="33" t="n"/>
      <c r="B36" s="19" t="n"/>
      <c r="C36" s="19" t="n"/>
      <c r="D36" s="12" t="n"/>
      <c r="E36" s="59" t="n"/>
      <c r="F36" s="33" t="n"/>
      <c r="G36" s="33" t="n"/>
      <c r="H36" s="19" t="n"/>
    </row>
    <row r="37" ht="20" customHeight="1">
      <c r="A37" s="56" t="n"/>
      <c r="B37" s="30" t="n"/>
      <c r="C37" s="30" t="n"/>
      <c r="D37" s="57" t="n"/>
      <c r="E37" s="58" t="n"/>
      <c r="F37" s="56" t="n"/>
      <c r="G37" s="56" t="n"/>
      <c r="H37" s="30" t="n"/>
    </row>
    <row r="38" ht="20" customHeight="1">
      <c r="A38" s="33" t="n"/>
      <c r="B38" s="19" t="n"/>
      <c r="C38" s="19" t="n"/>
      <c r="D38" s="12" t="n"/>
      <c r="E38" s="59" t="n"/>
      <c r="F38" s="33" t="n"/>
      <c r="G38" s="33" t="n"/>
      <c r="H38" s="19" t="n"/>
    </row>
    <row r="39" ht="20" customHeight="1">
      <c r="A39" s="56" t="n"/>
      <c r="B39" s="30" t="n"/>
      <c r="C39" s="30" t="n"/>
      <c r="D39" s="57" t="n"/>
      <c r="E39" s="58" t="n"/>
      <c r="F39" s="56" t="n"/>
      <c r="G39" s="56" t="n"/>
      <c r="H39" s="30" t="n"/>
    </row>
    <row r="40" ht="20" customHeight="1">
      <c r="A40" s="33" t="n"/>
      <c r="B40" s="19" t="n"/>
      <c r="C40" s="19" t="n"/>
      <c r="D40" s="12" t="n"/>
      <c r="E40" s="59" t="n"/>
      <c r="F40" s="33" t="n"/>
      <c r="G40" s="33" t="n"/>
      <c r="H40" s="19" t="n"/>
    </row>
    <row r="41" ht="20" customHeight="1">
      <c r="A41" s="56" t="n"/>
      <c r="B41" s="30" t="n"/>
      <c r="C41" s="30" t="n"/>
      <c r="D41" s="57" t="n"/>
      <c r="E41" s="58" t="n"/>
      <c r="F41" s="56" t="n"/>
      <c r="G41" s="56" t="n"/>
      <c r="H41" s="30" t="n"/>
    </row>
    <row r="42" ht="20" customHeight="1">
      <c r="A42" s="33" t="n"/>
      <c r="B42" s="19" t="n"/>
      <c r="C42" s="19" t="n"/>
      <c r="D42" s="12" t="n"/>
      <c r="E42" s="59" t="n"/>
      <c r="F42" s="33" t="n"/>
      <c r="G42" s="33" t="n"/>
      <c r="H42" s="19" t="n"/>
    </row>
    <row r="43" ht="20" customHeight="1">
      <c r="A43" s="56" t="n"/>
      <c r="B43" s="30" t="n"/>
      <c r="C43" s="30" t="n"/>
      <c r="D43" s="57" t="n"/>
      <c r="E43" s="58" t="n"/>
      <c r="F43" s="56" t="n"/>
      <c r="G43" s="56" t="n"/>
      <c r="H43" s="30" t="n"/>
    </row>
    <row r="44" ht="20" customHeight="1">
      <c r="A44" s="33" t="n"/>
      <c r="B44" s="19" t="n"/>
      <c r="C44" s="19" t="n"/>
      <c r="D44" s="12" t="n"/>
      <c r="E44" s="59" t="n"/>
      <c r="F44" s="33" t="n"/>
      <c r="G44" s="33" t="n"/>
      <c r="H44" s="19" t="n"/>
    </row>
    <row r="45" ht="20" customHeight="1">
      <c r="A45" s="56" t="n"/>
      <c r="B45" s="30" t="n"/>
      <c r="C45" s="30" t="n"/>
      <c r="D45" s="57" t="n"/>
      <c r="E45" s="58" t="n"/>
      <c r="F45" s="56" t="n"/>
      <c r="G45" s="56" t="n"/>
      <c r="H45" s="30" t="n"/>
    </row>
    <row r="46" ht="20" customHeight="1">
      <c r="A46" s="33" t="n"/>
      <c r="B46" s="19" t="n"/>
      <c r="C46" s="19" t="n"/>
      <c r="D46" s="12" t="n"/>
      <c r="E46" s="59" t="n"/>
      <c r="F46" s="33" t="n"/>
      <c r="G46" s="33" t="n"/>
      <c r="H46" s="19" t="n"/>
    </row>
    <row r="47" ht="20" customHeight="1">
      <c r="A47" s="56" t="n"/>
      <c r="B47" s="30" t="n"/>
      <c r="C47" s="30" t="n"/>
      <c r="D47" s="57" t="n"/>
      <c r="E47" s="58" t="n"/>
      <c r="F47" s="56" t="n"/>
      <c r="G47" s="56" t="n"/>
      <c r="H47" s="30" t="n"/>
    </row>
    <row r="48" ht="20" customHeight="1">
      <c r="A48" s="33" t="n"/>
      <c r="B48" s="19" t="n"/>
      <c r="C48" s="19" t="n"/>
      <c r="D48" s="12" t="n"/>
      <c r="E48" s="59" t="n"/>
      <c r="F48" s="33" t="n"/>
      <c r="G48" s="33" t="n"/>
      <c r="H48" s="19" t="n"/>
    </row>
    <row r="49" ht="20" customHeight="1">
      <c r="A49" s="56" t="n"/>
      <c r="B49" s="30" t="n"/>
      <c r="C49" s="30" t="n"/>
      <c r="D49" s="57" t="n"/>
      <c r="E49" s="58" t="n"/>
      <c r="F49" s="56" t="n"/>
      <c r="G49" s="56" t="n"/>
      <c r="H49" s="30" t="n"/>
    </row>
    <row r="50" ht="20" customHeight="1">
      <c r="A50" s="33" t="n"/>
      <c r="B50" s="19" t="n"/>
      <c r="C50" s="19" t="n"/>
      <c r="D50" s="12" t="n"/>
      <c r="E50" s="59" t="n"/>
      <c r="F50" s="33" t="n"/>
      <c r="G50" s="33" t="n"/>
      <c r="H50" s="19" t="n"/>
    </row>
    <row r="51" ht="20" customHeight="1">
      <c r="A51" s="56" t="n"/>
      <c r="B51" s="30" t="n"/>
      <c r="C51" s="30" t="n"/>
      <c r="D51" s="57" t="n"/>
      <c r="E51" s="58" t="n"/>
      <c r="F51" s="56" t="n"/>
      <c r="G51" s="56" t="n"/>
      <c r="H51" s="30" t="n"/>
    </row>
    <row r="52" ht="20" customHeight="1">
      <c r="A52" s="33" t="n"/>
      <c r="B52" s="19" t="n"/>
      <c r="C52" s="19" t="n"/>
      <c r="D52" s="12" t="n"/>
      <c r="E52" s="59" t="n"/>
      <c r="F52" s="33" t="n"/>
      <c r="G52" s="33" t="n"/>
      <c r="H52" s="19" t="n"/>
    </row>
    <row r="53" ht="20" customHeight="1">
      <c r="A53" s="56" t="n"/>
      <c r="B53" s="30" t="n"/>
      <c r="C53" s="30" t="n"/>
      <c r="D53" s="57" t="n"/>
      <c r="E53" s="58" t="n"/>
      <c r="F53" s="56" t="n"/>
      <c r="G53" s="56" t="n"/>
      <c r="H53" s="30" t="n"/>
    </row>
    <row r="54" ht="20" customHeight="1">
      <c r="A54" s="33" t="n"/>
      <c r="B54" s="19" t="n"/>
      <c r="C54" s="19" t="n"/>
      <c r="D54" s="12" t="n"/>
      <c r="E54" s="59" t="n"/>
      <c r="F54" s="33" t="n"/>
      <c r="G54" s="33" t="n"/>
      <c r="H54" s="19" t="n"/>
    </row>
    <row r="55" ht="20" customHeight="1">
      <c r="A55" s="56" t="n"/>
      <c r="B55" s="30" t="n"/>
      <c r="C55" s="30" t="n"/>
      <c r="D55" s="57" t="n"/>
      <c r="E55" s="58" t="n"/>
      <c r="F55" s="56" t="n"/>
      <c r="G55" s="56" t="n"/>
      <c r="H55" s="30" t="n"/>
    </row>
    <row r="56" ht="20" customHeight="1">
      <c r="A56" s="33" t="n"/>
      <c r="B56" s="19" t="n"/>
      <c r="C56" s="19" t="n"/>
      <c r="D56" s="12" t="n"/>
      <c r="E56" s="59" t="n"/>
      <c r="F56" s="33" t="n"/>
      <c r="G56" s="33" t="n"/>
      <c r="H56" s="19" t="n"/>
    </row>
    <row r="57" ht="20" customHeight="1">
      <c r="A57" s="56" t="n"/>
      <c r="B57" s="30" t="n"/>
      <c r="C57" s="30" t="n"/>
      <c r="D57" s="57" t="n"/>
      <c r="E57" s="58" t="n"/>
      <c r="F57" s="56" t="n"/>
      <c r="G57" s="56" t="n"/>
      <c r="H57" s="30" t="n"/>
    </row>
    <row r="58" ht="20" customHeight="1">
      <c r="A58" s="33" t="n"/>
      <c r="B58" s="19" t="n"/>
      <c r="C58" s="19" t="n"/>
      <c r="D58" s="12" t="n"/>
      <c r="E58" s="59" t="n"/>
      <c r="F58" s="33" t="n"/>
      <c r="G58" s="33" t="n"/>
      <c r="H58" s="19" t="n"/>
    </row>
    <row r="59" ht="20" customHeight="1">
      <c r="A59" s="56" t="n"/>
      <c r="B59" s="30" t="n"/>
      <c r="C59" s="30" t="n"/>
      <c r="D59" s="57" t="n"/>
      <c r="E59" s="58" t="n"/>
      <c r="F59" s="56" t="n"/>
      <c r="G59" s="56" t="n"/>
      <c r="H59" s="30" t="n"/>
    </row>
    <row r="60" ht="20" customHeight="1">
      <c r="A60" s="33" t="n"/>
      <c r="B60" s="19" t="n"/>
      <c r="C60" s="19" t="n"/>
      <c r="D60" s="12" t="n"/>
      <c r="E60" s="59" t="n"/>
      <c r="F60" s="33" t="n"/>
      <c r="G60" s="33" t="n"/>
      <c r="H60" s="19" t="n"/>
    </row>
    <row r="61" ht="20" customHeight="1">
      <c r="A61" s="56" t="n"/>
      <c r="B61" s="30" t="n"/>
      <c r="C61" s="30" t="n"/>
      <c r="D61" s="57" t="n"/>
      <c r="E61" s="58" t="n"/>
      <c r="F61" s="56" t="n"/>
      <c r="G61" s="56" t="n"/>
      <c r="H61" s="30" t="n"/>
    </row>
    <row r="62" ht="20" customHeight="1">
      <c r="A62" s="33" t="n"/>
      <c r="B62" s="19" t="n"/>
      <c r="C62" s="19" t="n"/>
      <c r="D62" s="12" t="n"/>
      <c r="E62" s="59" t="n"/>
      <c r="F62" s="33" t="n"/>
      <c r="G62" s="33" t="n"/>
      <c r="H62" s="19" t="n"/>
    </row>
    <row r="63" ht="20" customHeight="1">
      <c r="A63" s="56" t="n"/>
      <c r="B63" s="30" t="n"/>
      <c r="C63" s="30" t="n"/>
      <c r="D63" s="57" t="n"/>
      <c r="E63" s="58" t="n"/>
      <c r="F63" s="56" t="n"/>
      <c r="G63" s="56" t="n"/>
      <c r="H63" s="30" t="n"/>
    </row>
    <row r="64" ht="20" customHeight="1">
      <c r="A64" s="33" t="n"/>
      <c r="B64" s="19" t="n"/>
      <c r="C64" s="19" t="n"/>
      <c r="D64" s="12" t="n"/>
      <c r="E64" s="59" t="n"/>
      <c r="F64" s="33" t="n"/>
      <c r="G64" s="33" t="n"/>
      <c r="H64" s="19" t="n"/>
    </row>
    <row r="65" ht="20" customHeight="1">
      <c r="A65" s="56" t="n"/>
      <c r="B65" s="30" t="n"/>
      <c r="C65" s="30" t="n"/>
      <c r="D65" s="57" t="n"/>
      <c r="E65" s="58" t="n"/>
      <c r="F65" s="56" t="n"/>
      <c r="G65" s="56" t="n"/>
      <c r="H65" s="30" t="n"/>
    </row>
    <row r="66" ht="20" customHeight="1">
      <c r="A66" s="33" t="n"/>
      <c r="B66" s="19" t="n"/>
      <c r="C66" s="19" t="n"/>
      <c r="D66" s="12" t="n"/>
      <c r="E66" s="59" t="n"/>
      <c r="F66" s="33" t="n"/>
      <c r="G66" s="33" t="n"/>
      <c r="H66" s="19" t="n"/>
    </row>
    <row r="67" ht="20" customHeight="1">
      <c r="A67" s="56" t="n"/>
      <c r="B67" s="30" t="n"/>
      <c r="C67" s="30" t="n"/>
      <c r="D67" s="57" t="n"/>
      <c r="E67" s="58" t="n"/>
      <c r="F67" s="56" t="n"/>
      <c r="G67" s="56" t="n"/>
      <c r="H67" s="30" t="n"/>
    </row>
    <row r="68" ht="20" customHeight="1">
      <c r="A68" s="33" t="n"/>
      <c r="B68" s="19" t="n"/>
      <c r="C68" s="19" t="n"/>
      <c r="D68" s="12" t="n"/>
      <c r="E68" s="59" t="n"/>
      <c r="F68" s="33" t="n"/>
      <c r="G68" s="33" t="n"/>
      <c r="H68" s="19" t="n"/>
    </row>
    <row r="69" ht="20" customHeight="1">
      <c r="A69" s="56" t="n"/>
      <c r="B69" s="30" t="n"/>
      <c r="C69" s="30" t="n"/>
      <c r="D69" s="57" t="n"/>
      <c r="E69" s="58" t="n"/>
      <c r="F69" s="56" t="n"/>
      <c r="G69" s="56" t="n"/>
      <c r="H69" s="30" t="n"/>
    </row>
    <row r="70" ht="20" customHeight="1">
      <c r="A70" s="33" t="n"/>
      <c r="B70" s="19" t="n"/>
      <c r="C70" s="19" t="n"/>
      <c r="D70" s="12" t="n"/>
      <c r="E70" s="59" t="n"/>
      <c r="F70" s="33" t="n"/>
      <c r="G70" s="33" t="n"/>
      <c r="H70" s="19" t="n"/>
    </row>
    <row r="71" ht="20" customHeight="1">
      <c r="A71" s="56" t="n"/>
      <c r="B71" s="30" t="n"/>
      <c r="C71" s="30" t="n"/>
      <c r="D71" s="57" t="n"/>
      <c r="E71" s="58" t="n"/>
      <c r="F71" s="56" t="n"/>
      <c r="G71" s="56" t="n"/>
      <c r="H71" s="30" t="n"/>
    </row>
    <row r="72" ht="20" customHeight="1">
      <c r="A72" s="33" t="n"/>
      <c r="B72" s="19" t="n"/>
      <c r="C72" s="19" t="n"/>
      <c r="D72" s="12" t="n"/>
      <c r="E72" s="59" t="n"/>
      <c r="F72" s="33" t="n"/>
      <c r="G72" s="33" t="n"/>
      <c r="H72" s="19" t="n"/>
    </row>
    <row r="73" ht="20" customHeight="1">
      <c r="A73" s="56" t="n"/>
      <c r="B73" s="30" t="n"/>
      <c r="C73" s="30" t="n"/>
      <c r="D73" s="57" t="n"/>
      <c r="E73" s="58" t="n"/>
      <c r="F73" s="56" t="n"/>
      <c r="G73" s="56" t="n"/>
      <c r="H73" s="30" t="n"/>
    </row>
    <row r="74" ht="20" customHeight="1">
      <c r="A74" s="33" t="n"/>
      <c r="B74" s="19" t="n"/>
      <c r="C74" s="19" t="n"/>
      <c r="D74" s="12" t="n"/>
      <c r="E74" s="59" t="n"/>
      <c r="F74" s="33" t="n"/>
      <c r="G74" s="33" t="n"/>
      <c r="H74" s="19" t="n"/>
    </row>
    <row r="75" ht="20" customHeight="1">
      <c r="A75" s="56" t="n"/>
      <c r="B75" s="30" t="n"/>
      <c r="C75" s="30" t="n"/>
      <c r="D75" s="57" t="n"/>
      <c r="E75" s="58" t="n"/>
      <c r="F75" s="56" t="n"/>
      <c r="G75" s="56" t="n"/>
      <c r="H75" s="30" t="n"/>
    </row>
    <row r="76" ht="20" customHeight="1">
      <c r="A76" s="33" t="n"/>
      <c r="B76" s="19" t="n"/>
      <c r="C76" s="19" t="n"/>
      <c r="D76" s="12" t="n"/>
      <c r="E76" s="59" t="n"/>
      <c r="F76" s="33" t="n"/>
      <c r="G76" s="33" t="n"/>
      <c r="H76" s="19" t="n"/>
    </row>
    <row r="77" ht="20" customHeight="1">
      <c r="A77" s="56" t="n"/>
      <c r="B77" s="30" t="n"/>
      <c r="C77" s="30" t="n"/>
      <c r="D77" s="57" t="n"/>
      <c r="E77" s="58" t="n"/>
      <c r="F77" s="56" t="n"/>
      <c r="G77" s="56" t="n"/>
      <c r="H77" s="30" t="n"/>
    </row>
    <row r="78" ht="20" customHeight="1">
      <c r="A78" s="33" t="n"/>
      <c r="B78" s="19" t="n"/>
      <c r="C78" s="19" t="n"/>
      <c r="D78" s="12" t="n"/>
      <c r="E78" s="59" t="n"/>
      <c r="F78" s="33" t="n"/>
      <c r="G78" s="33" t="n"/>
      <c r="H78" s="19" t="n"/>
    </row>
    <row r="79" ht="20" customHeight="1">
      <c r="A79" s="56" t="n"/>
      <c r="B79" s="30" t="n"/>
      <c r="C79" s="30" t="n"/>
      <c r="D79" s="57" t="n"/>
      <c r="E79" s="58" t="n"/>
      <c r="F79" s="56" t="n"/>
      <c r="G79" s="56" t="n"/>
      <c r="H79" s="30" t="n"/>
    </row>
    <row r="80" ht="20" customHeight="1">
      <c r="A80" s="33" t="n"/>
      <c r="B80" s="19" t="n"/>
      <c r="C80" s="19" t="n"/>
      <c r="D80" s="12" t="n"/>
      <c r="E80" s="59" t="n"/>
      <c r="F80" s="33" t="n"/>
      <c r="G80" s="33" t="n"/>
      <c r="H80" s="19" t="n"/>
    </row>
    <row r="81" ht="20" customHeight="1">
      <c r="A81" s="56" t="n"/>
      <c r="B81" s="30" t="n"/>
      <c r="C81" s="30" t="n"/>
      <c r="D81" s="57" t="n"/>
      <c r="E81" s="58" t="n"/>
      <c r="F81" s="56" t="n"/>
      <c r="G81" s="56" t="n"/>
      <c r="H81" s="30" t="n"/>
    </row>
    <row r="82" ht="20" customHeight="1">
      <c r="A82" s="33" t="n"/>
      <c r="B82" s="19" t="n"/>
      <c r="C82" s="19" t="n"/>
      <c r="D82" s="12" t="n"/>
      <c r="E82" s="59" t="n"/>
      <c r="F82" s="33" t="n"/>
      <c r="G82" s="33" t="n"/>
      <c r="H82" s="19" t="n"/>
    </row>
    <row r="83" ht="20" customHeight="1">
      <c r="A83" s="56" t="n"/>
      <c r="B83" s="30" t="n"/>
      <c r="C83" s="30" t="n"/>
      <c r="D83" s="57" t="n"/>
      <c r="E83" s="58" t="n"/>
      <c r="F83" s="56" t="n"/>
      <c r="G83" s="56" t="n"/>
      <c r="H83" s="30" t="n"/>
    </row>
    <row r="84" ht="20" customHeight="1">
      <c r="A84" s="33" t="n"/>
      <c r="B84" s="19" t="n"/>
      <c r="C84" s="19" t="n"/>
      <c r="D84" s="12" t="n"/>
      <c r="E84" s="59" t="n"/>
      <c r="F84" s="33" t="n"/>
      <c r="G84" s="33" t="n"/>
      <c r="H84" s="19" t="n"/>
    </row>
    <row r="85" ht="20" customHeight="1">
      <c r="A85" s="56" t="n"/>
      <c r="B85" s="30" t="n"/>
      <c r="C85" s="30" t="n"/>
      <c r="D85" s="57" t="n"/>
      <c r="E85" s="58" t="n"/>
      <c r="F85" s="56" t="n"/>
      <c r="G85" s="56" t="n"/>
      <c r="H85" s="30" t="n"/>
    </row>
    <row r="86" ht="20" customHeight="1">
      <c r="A86" s="33" t="n"/>
      <c r="B86" s="19" t="n"/>
      <c r="C86" s="19" t="n"/>
      <c r="D86" s="12" t="n"/>
      <c r="E86" s="59" t="n"/>
      <c r="F86" s="33" t="n"/>
      <c r="G86" s="33" t="n"/>
      <c r="H86" s="19" t="n"/>
    </row>
    <row r="87" ht="20" customHeight="1">
      <c r="A87" s="56" t="n"/>
      <c r="B87" s="30" t="n"/>
      <c r="C87" s="30" t="n"/>
      <c r="D87" s="57" t="n"/>
      <c r="E87" s="58" t="n"/>
      <c r="F87" s="56" t="n"/>
      <c r="G87" s="56" t="n"/>
      <c r="H87" s="30" t="n"/>
    </row>
    <row r="88" ht="20" customHeight="1">
      <c r="A88" s="33" t="n"/>
      <c r="B88" s="19" t="n"/>
      <c r="C88" s="19" t="n"/>
      <c r="D88" s="12" t="n"/>
      <c r="E88" s="59" t="n"/>
      <c r="F88" s="33" t="n"/>
      <c r="G88" s="33" t="n"/>
      <c r="H88" s="19" t="n"/>
    </row>
    <row r="89" ht="20" customHeight="1">
      <c r="A89" s="56" t="n"/>
      <c r="B89" s="30" t="n"/>
      <c r="C89" s="30" t="n"/>
      <c r="D89" s="57" t="n"/>
      <c r="E89" s="58" t="n"/>
      <c r="F89" s="56" t="n"/>
      <c r="G89" s="56" t="n"/>
      <c r="H89" s="30" t="n"/>
    </row>
    <row r="90" ht="20" customHeight="1">
      <c r="A90" s="33" t="n"/>
      <c r="B90" s="19" t="n"/>
      <c r="C90" s="19" t="n"/>
      <c r="D90" s="12" t="n"/>
      <c r="E90" s="59" t="n"/>
      <c r="F90" s="33" t="n"/>
      <c r="G90" s="33" t="n"/>
      <c r="H90" s="19" t="n"/>
    </row>
    <row r="91" ht="20" customHeight="1">
      <c r="A91" s="56" t="n"/>
      <c r="B91" s="30" t="n"/>
      <c r="C91" s="30" t="n"/>
      <c r="D91" s="57" t="n"/>
      <c r="E91" s="58" t="n"/>
      <c r="F91" s="56" t="n"/>
      <c r="G91" s="56" t="n"/>
      <c r="H91" s="30" t="n"/>
    </row>
    <row r="92" ht="20" customHeight="1">
      <c r="A92" s="33" t="n"/>
      <c r="B92" s="19" t="n"/>
      <c r="C92" s="19" t="n"/>
      <c r="D92" s="12" t="n"/>
      <c r="E92" s="59" t="n"/>
      <c r="F92" s="33" t="n"/>
      <c r="G92" s="33" t="n"/>
      <c r="H92" s="19" t="n"/>
    </row>
    <row r="93" ht="20" customHeight="1">
      <c r="A93" s="56" t="n"/>
      <c r="B93" s="30" t="n"/>
      <c r="C93" s="30" t="n"/>
      <c r="D93" s="57" t="n"/>
      <c r="E93" s="58" t="n"/>
      <c r="F93" s="56" t="n"/>
      <c r="G93" s="56" t="n"/>
      <c r="H93" s="30" t="n"/>
    </row>
    <row r="94" ht="20" customHeight="1">
      <c r="A94" s="33" t="n"/>
      <c r="B94" s="19" t="n"/>
      <c r="C94" s="19" t="n"/>
      <c r="D94" s="12" t="n"/>
      <c r="E94" s="59" t="n"/>
      <c r="F94" s="33" t="n"/>
      <c r="G94" s="33" t="n"/>
      <c r="H94" s="19" t="n"/>
    </row>
    <row r="95" ht="20" customHeight="1">
      <c r="A95" s="56" t="n"/>
      <c r="B95" s="30" t="n"/>
      <c r="C95" s="30" t="n"/>
      <c r="D95" s="57" t="n"/>
      <c r="E95" s="58" t="n"/>
      <c r="F95" s="56" t="n"/>
      <c r="G95" s="56" t="n"/>
      <c r="H95" s="30" t="n"/>
    </row>
    <row r="96" ht="20" customHeight="1">
      <c r="A96" s="33" t="n"/>
      <c r="B96" s="19" t="n"/>
      <c r="C96" s="19" t="n"/>
      <c r="D96" s="12" t="n"/>
      <c r="E96" s="59" t="n"/>
      <c r="F96" s="33" t="n"/>
      <c r="G96" s="33" t="n"/>
      <c r="H96" s="19" t="n"/>
    </row>
    <row r="97" ht="20" customHeight="1">
      <c r="A97" s="56" t="n"/>
      <c r="B97" s="30" t="n"/>
      <c r="C97" s="30" t="n"/>
      <c r="D97" s="57" t="n"/>
      <c r="E97" s="58" t="n"/>
      <c r="F97" s="56" t="n"/>
      <c r="G97" s="56" t="n"/>
      <c r="H97" s="30" t="n"/>
    </row>
    <row r="98" ht="20" customHeight="1">
      <c r="A98" s="33" t="n"/>
      <c r="B98" s="19" t="n"/>
      <c r="C98" s="19" t="n"/>
      <c r="D98" s="12" t="n"/>
      <c r="E98" s="59" t="n"/>
      <c r="F98" s="33" t="n"/>
      <c r="G98" s="33" t="n"/>
      <c r="H98" s="19" t="n"/>
    </row>
    <row r="99" ht="20" customHeight="1">
      <c r="A99" s="56" t="n"/>
      <c r="B99" s="30" t="n"/>
      <c r="C99" s="30" t="n"/>
      <c r="D99" s="57" t="n"/>
      <c r="E99" s="58" t="n"/>
      <c r="F99" s="56" t="n"/>
      <c r="G99" s="56" t="n"/>
      <c r="H99" s="30" t="n"/>
    </row>
    <row r="100" ht="20" customHeight="1">
      <c r="A100" s="33" t="n"/>
      <c r="B100" s="19" t="n"/>
      <c r="C100" s="19" t="n"/>
      <c r="D100" s="12" t="n"/>
      <c r="E100" s="59" t="n"/>
      <c r="F100" s="33" t="n"/>
      <c r="G100" s="33" t="n"/>
      <c r="H100" s="19" t="n"/>
    </row>
    <row r="101" ht="20" customHeight="1">
      <c r="A101" s="56" t="n"/>
      <c r="B101" s="30" t="n"/>
      <c r="C101" s="30" t="n"/>
      <c r="D101" s="57" t="n"/>
      <c r="E101" s="58" t="n"/>
      <c r="F101" s="56" t="n"/>
      <c r="G101" s="56" t="n"/>
      <c r="H101" s="30" t="n"/>
    </row>
    <row r="102" ht="20" customHeight="1">
      <c r="A102" s="33" t="n"/>
      <c r="B102" s="19" t="n"/>
      <c r="C102" s="19" t="n"/>
      <c r="D102" s="12" t="n"/>
      <c r="E102" s="59" t="n"/>
      <c r="F102" s="33" t="n"/>
      <c r="G102" s="33" t="n"/>
      <c r="H102" s="19" t="n"/>
    </row>
    <row r="103" ht="20" customHeight="1">
      <c r="A103" s="56" t="n"/>
      <c r="B103" s="30" t="n"/>
      <c r="C103" s="30" t="n"/>
      <c r="D103" s="57" t="n"/>
      <c r="E103" s="58" t="n"/>
      <c r="F103" s="56" t="n"/>
      <c r="G103" s="56" t="n"/>
      <c r="H103" s="30" t="n"/>
    </row>
    <row r="104" ht="20" customHeight="1">
      <c r="A104" s="33" t="n"/>
      <c r="B104" s="19" t="n"/>
      <c r="C104" s="19" t="n"/>
      <c r="D104" s="12" t="n"/>
      <c r="E104" s="59" t="n"/>
      <c r="F104" s="33" t="n"/>
      <c r="G104" s="33" t="n"/>
      <c r="H104" s="19" t="n"/>
    </row>
    <row r="105" ht="20" customHeight="1">
      <c r="A105" s="56" t="n"/>
      <c r="B105" s="30" t="n"/>
      <c r="C105" s="30" t="n"/>
      <c r="D105" s="57" t="n"/>
      <c r="E105" s="58" t="n"/>
      <c r="F105" s="56" t="n"/>
      <c r="G105" s="56" t="n"/>
      <c r="H105" s="30" t="n"/>
    </row>
    <row r="106" ht="20" customHeight="1">
      <c r="A106" s="33" t="n"/>
      <c r="B106" s="19" t="n"/>
      <c r="C106" s="19" t="n"/>
      <c r="D106" s="12" t="n"/>
      <c r="E106" s="59" t="n"/>
      <c r="F106" s="33" t="n"/>
      <c r="G106" s="33" t="n"/>
      <c r="H106" s="19" t="n"/>
    </row>
    <row r="107" ht="20" customHeight="1">
      <c r="A107" s="56" t="n"/>
      <c r="B107" s="30" t="n"/>
      <c r="C107" s="30" t="n"/>
      <c r="D107" s="57" t="n"/>
      <c r="E107" s="58" t="n"/>
      <c r="F107" s="56" t="n"/>
      <c r="G107" s="56" t="n"/>
      <c r="H107" s="30" t="n"/>
    </row>
    <row r="108" ht="20" customHeight="1">
      <c r="A108" s="33" t="n"/>
      <c r="B108" s="19" t="n"/>
      <c r="C108" s="19" t="n"/>
      <c r="D108" s="12" t="n"/>
      <c r="E108" s="59" t="n"/>
      <c r="F108" s="33" t="n"/>
      <c r="G108" s="33" t="n"/>
      <c r="H108" s="19" t="n"/>
    </row>
    <row r="109" ht="20" customHeight="1">
      <c r="A109" s="56" t="n"/>
      <c r="B109" s="30" t="n"/>
      <c r="C109" s="30" t="n"/>
      <c r="D109" s="57" t="n"/>
      <c r="E109" s="58" t="n"/>
      <c r="F109" s="56" t="n"/>
      <c r="G109" s="56" t="n"/>
      <c r="H109" s="30" t="n"/>
    </row>
    <row r="110" ht="20" customHeight="1">
      <c r="A110" s="33" t="n"/>
      <c r="B110" s="19" t="n"/>
      <c r="C110" s="19" t="n"/>
      <c r="D110" s="12" t="n"/>
      <c r="E110" s="59" t="n"/>
      <c r="F110" s="33" t="n"/>
      <c r="G110" s="33" t="n"/>
      <c r="H110" s="19" t="n"/>
    </row>
    <row r="111" ht="20" customHeight="1">
      <c r="A111" s="56" t="n"/>
      <c r="B111" s="30" t="n"/>
      <c r="C111" s="30" t="n"/>
      <c r="D111" s="57" t="n"/>
      <c r="E111" s="58" t="n"/>
      <c r="F111" s="56" t="n"/>
      <c r="G111" s="56" t="n"/>
      <c r="H111" s="30" t="n"/>
    </row>
    <row r="112" ht="20" customHeight="1">
      <c r="A112" s="33" t="n"/>
      <c r="B112" s="19" t="n"/>
      <c r="C112" s="19" t="n"/>
      <c r="D112" s="12" t="n"/>
      <c r="E112" s="59" t="n"/>
      <c r="F112" s="33" t="n"/>
      <c r="G112" s="33" t="n"/>
      <c r="H112" s="19" t="n"/>
    </row>
    <row r="113" ht="20" customHeight="1">
      <c r="A113" s="56" t="n"/>
      <c r="B113" s="30" t="n"/>
      <c r="C113" s="30" t="n"/>
      <c r="D113" s="57" t="n"/>
      <c r="E113" s="58" t="n"/>
      <c r="F113" s="56" t="n"/>
      <c r="G113" s="56" t="n"/>
      <c r="H113" s="30" t="n"/>
    </row>
    <row r="114" ht="20" customHeight="1">
      <c r="A114" s="33" t="n"/>
      <c r="B114" s="19" t="n"/>
      <c r="C114" s="19" t="n"/>
      <c r="D114" s="12" t="n"/>
      <c r="E114" s="59" t="n"/>
      <c r="F114" s="33" t="n"/>
      <c r="G114" s="33" t="n"/>
      <c r="H114" s="19" t="n"/>
    </row>
    <row r="115" ht="20" customHeight="1">
      <c r="A115" s="56" t="n"/>
      <c r="B115" s="30" t="n"/>
      <c r="C115" s="30" t="n"/>
      <c r="D115" s="57" t="n"/>
      <c r="E115" s="58" t="n"/>
      <c r="F115" s="56" t="n"/>
      <c r="G115" s="56" t="n"/>
      <c r="H115" s="30" t="n"/>
    </row>
    <row r="116" ht="20" customHeight="1">
      <c r="A116" s="33" t="n"/>
      <c r="B116" s="19" t="n"/>
      <c r="C116" s="19" t="n"/>
      <c r="D116" s="12" t="n"/>
      <c r="E116" s="59" t="n"/>
      <c r="F116" s="33" t="n"/>
      <c r="G116" s="33" t="n"/>
      <c r="H116" s="19" t="n"/>
    </row>
    <row r="117" ht="20" customHeight="1">
      <c r="A117" s="56" t="n"/>
      <c r="B117" s="30" t="n"/>
      <c r="C117" s="30" t="n"/>
      <c r="D117" s="57" t="n"/>
      <c r="E117" s="58" t="n"/>
      <c r="F117" s="56" t="n"/>
      <c r="G117" s="56" t="n"/>
      <c r="H117" s="30" t="n"/>
    </row>
    <row r="118" ht="20" customHeight="1">
      <c r="A118" s="33" t="n"/>
      <c r="B118" s="19" t="n"/>
      <c r="C118" s="19" t="n"/>
      <c r="D118" s="12" t="n"/>
      <c r="E118" s="59" t="n"/>
      <c r="F118" s="33" t="n"/>
      <c r="G118" s="33" t="n"/>
      <c r="H118" s="19" t="n"/>
    </row>
    <row r="119" ht="20" customHeight="1">
      <c r="A119" s="56" t="n"/>
      <c r="B119" s="30" t="n"/>
      <c r="C119" s="30" t="n"/>
      <c r="D119" s="57" t="n"/>
      <c r="E119" s="58" t="n"/>
      <c r="F119" s="56" t="n"/>
      <c r="G119" s="56" t="n"/>
      <c r="H119" s="30" t="n"/>
    </row>
    <row r="120" ht="20" customHeight="1">
      <c r="A120" s="33" t="n"/>
      <c r="B120" s="19" t="n"/>
      <c r="C120" s="19" t="n"/>
      <c r="D120" s="12" t="n"/>
      <c r="E120" s="59" t="n"/>
      <c r="F120" s="33" t="n"/>
      <c r="G120" s="33" t="n"/>
      <c r="H120" s="19" t="n"/>
    </row>
    <row r="121" ht="20" customHeight="1">
      <c r="A121" s="56" t="n"/>
      <c r="B121" s="30" t="n"/>
      <c r="C121" s="30" t="n"/>
      <c r="D121" s="57" t="n"/>
      <c r="E121" s="58" t="n"/>
      <c r="F121" s="56" t="n"/>
      <c r="G121" s="56" t="n"/>
      <c r="H121" s="30" t="n"/>
    </row>
    <row r="122" ht="20" customHeight="1">
      <c r="A122" s="33" t="n"/>
      <c r="B122" s="19" t="n"/>
      <c r="C122" s="19" t="n"/>
      <c r="D122" s="12" t="n"/>
      <c r="E122" s="59" t="n"/>
      <c r="F122" s="33" t="n"/>
      <c r="G122" s="33" t="n"/>
      <c r="H122" s="19" t="n"/>
    </row>
    <row r="123" ht="20" customHeight="1">
      <c r="A123" s="56" t="n"/>
      <c r="B123" s="30" t="n"/>
      <c r="C123" s="30" t="n"/>
      <c r="D123" s="57" t="n"/>
      <c r="E123" s="58" t="n"/>
      <c r="F123" s="56" t="n"/>
      <c r="G123" s="56" t="n"/>
      <c r="H123" s="30" t="n"/>
    </row>
    <row r="124" ht="20" customHeight="1">
      <c r="A124" s="33" t="n"/>
      <c r="B124" s="19" t="n"/>
      <c r="C124" s="19" t="n"/>
      <c r="D124" s="12" t="n"/>
      <c r="E124" s="59" t="n"/>
      <c r="F124" s="33" t="n"/>
      <c r="G124" s="33" t="n"/>
      <c r="H124" s="19" t="n"/>
    </row>
    <row r="125" ht="20" customHeight="1">
      <c r="A125" s="56" t="n"/>
      <c r="B125" s="30" t="n"/>
      <c r="C125" s="30" t="n"/>
      <c r="D125" s="57" t="n"/>
      <c r="E125" s="58" t="n"/>
      <c r="F125" s="56" t="n"/>
      <c r="G125" s="56" t="n"/>
      <c r="H125" s="30" t="n"/>
    </row>
    <row r="126" ht="20" customHeight="1">
      <c r="A126" s="33" t="n"/>
      <c r="B126" s="19" t="n"/>
      <c r="C126" s="19" t="n"/>
      <c r="D126" s="12" t="n"/>
      <c r="E126" s="59" t="n"/>
      <c r="F126" s="33" t="n"/>
      <c r="G126" s="33" t="n"/>
      <c r="H126" s="19" t="n"/>
    </row>
    <row r="127" ht="20" customHeight="1">
      <c r="A127" s="56" t="n"/>
      <c r="B127" s="30" t="n"/>
      <c r="C127" s="30" t="n"/>
      <c r="D127" s="57" t="n"/>
      <c r="E127" s="58" t="n"/>
      <c r="F127" s="56" t="n"/>
      <c r="G127" s="56" t="n"/>
      <c r="H127" s="30" t="n"/>
    </row>
    <row r="128" ht="20" customHeight="1">
      <c r="A128" s="33" t="n"/>
      <c r="B128" s="19" t="n"/>
      <c r="C128" s="19" t="n"/>
      <c r="D128" s="12" t="n"/>
      <c r="E128" s="59" t="n"/>
      <c r="F128" s="33" t="n"/>
      <c r="G128" s="33" t="n"/>
      <c r="H128" s="19" t="n"/>
    </row>
    <row r="129" ht="20" customHeight="1">
      <c r="A129" s="56" t="n"/>
      <c r="B129" s="30" t="n"/>
      <c r="C129" s="30" t="n"/>
      <c r="D129" s="57" t="n"/>
      <c r="E129" s="58" t="n"/>
      <c r="F129" s="56" t="n"/>
      <c r="G129" s="56" t="n"/>
      <c r="H129" s="30" t="n"/>
    </row>
    <row r="130" ht="20" customHeight="1">
      <c r="A130" s="33" t="n"/>
      <c r="B130" s="19" t="n"/>
      <c r="C130" s="19" t="n"/>
      <c r="D130" s="12" t="n"/>
      <c r="E130" s="59" t="n"/>
      <c r="F130" s="33" t="n"/>
      <c r="G130" s="33" t="n"/>
      <c r="H130" s="19" t="n"/>
    </row>
    <row r="131" ht="20" customHeight="1">
      <c r="A131" s="56" t="n"/>
      <c r="B131" s="30" t="n"/>
      <c r="C131" s="30" t="n"/>
      <c r="D131" s="57" t="n"/>
      <c r="E131" s="58" t="n"/>
      <c r="F131" s="56" t="n"/>
      <c r="G131" s="56" t="n"/>
      <c r="H131" s="30" t="n"/>
    </row>
    <row r="132" ht="20" customHeight="1">
      <c r="A132" s="33" t="n"/>
      <c r="B132" s="19" t="n"/>
      <c r="C132" s="19" t="n"/>
      <c r="D132" s="12" t="n"/>
      <c r="E132" s="59" t="n"/>
      <c r="F132" s="33" t="n"/>
      <c r="G132" s="33" t="n"/>
      <c r="H132" s="19" t="n"/>
    </row>
    <row r="133" ht="20" customHeight="1">
      <c r="A133" s="56" t="n"/>
      <c r="B133" s="30" t="n"/>
      <c r="C133" s="30" t="n"/>
      <c r="D133" s="57" t="n"/>
      <c r="E133" s="58" t="n"/>
      <c r="F133" s="56" t="n"/>
      <c r="G133" s="56" t="n"/>
      <c r="H133" s="30" t="n"/>
    </row>
    <row r="134" ht="20" customHeight="1">
      <c r="A134" s="33" t="n"/>
      <c r="B134" s="19" t="n"/>
      <c r="C134" s="19" t="n"/>
      <c r="D134" s="12" t="n"/>
      <c r="E134" s="59" t="n"/>
      <c r="F134" s="33" t="n"/>
      <c r="G134" s="33" t="n"/>
      <c r="H134" s="19" t="n"/>
    </row>
    <row r="135" ht="20" customHeight="1">
      <c r="A135" s="56" t="n"/>
      <c r="B135" s="30" t="n"/>
      <c r="C135" s="30" t="n"/>
      <c r="D135" s="57" t="n"/>
      <c r="E135" s="58" t="n"/>
      <c r="F135" s="56" t="n"/>
      <c r="G135" s="56" t="n"/>
      <c r="H135" s="30" t="n"/>
    </row>
    <row r="136" ht="20" customHeight="1">
      <c r="A136" s="33" t="n"/>
      <c r="B136" s="19" t="n"/>
      <c r="C136" s="19" t="n"/>
      <c r="D136" s="12" t="n"/>
      <c r="E136" s="59" t="n"/>
      <c r="F136" s="33" t="n"/>
      <c r="G136" s="33" t="n"/>
      <c r="H136" s="19" t="n"/>
    </row>
    <row r="137" ht="20" customHeight="1">
      <c r="A137" s="56" t="n"/>
      <c r="B137" s="30" t="n"/>
      <c r="C137" s="30" t="n"/>
      <c r="D137" s="57" t="n"/>
      <c r="E137" s="58" t="n"/>
      <c r="F137" s="56" t="n"/>
      <c r="G137" s="56" t="n"/>
      <c r="H137" s="30" t="n"/>
    </row>
    <row r="138" ht="20" customHeight="1">
      <c r="A138" s="33" t="n"/>
      <c r="B138" s="19" t="n"/>
      <c r="C138" s="19" t="n"/>
      <c r="D138" s="12" t="n"/>
      <c r="E138" s="59" t="n"/>
      <c r="F138" s="33" t="n"/>
      <c r="G138" s="33" t="n"/>
      <c r="H138" s="19" t="n"/>
    </row>
    <row r="139" ht="20" customHeight="1">
      <c r="A139" s="56" t="n"/>
      <c r="B139" s="30" t="n"/>
      <c r="C139" s="30" t="n"/>
      <c r="D139" s="57" t="n"/>
      <c r="E139" s="58" t="n"/>
      <c r="F139" s="56" t="n"/>
      <c r="G139" s="56" t="n"/>
      <c r="H139" s="30" t="n"/>
    </row>
    <row r="140" ht="20" customHeight="1">
      <c r="A140" s="33" t="n"/>
      <c r="B140" s="19" t="n"/>
      <c r="C140" s="19" t="n"/>
      <c r="D140" s="12" t="n"/>
      <c r="E140" s="59" t="n"/>
      <c r="F140" s="33" t="n"/>
      <c r="G140" s="33" t="n"/>
      <c r="H140" s="19" t="n"/>
    </row>
    <row r="141" ht="20" customHeight="1">
      <c r="A141" s="56" t="n"/>
      <c r="B141" s="30" t="n"/>
      <c r="C141" s="30" t="n"/>
      <c r="D141" s="57" t="n"/>
      <c r="E141" s="58" t="n"/>
      <c r="F141" s="56" t="n"/>
      <c r="G141" s="56" t="n"/>
      <c r="H141" s="30" t="n"/>
    </row>
    <row r="142" ht="20" customHeight="1">
      <c r="A142" s="33" t="n"/>
      <c r="B142" s="19" t="n"/>
      <c r="C142" s="19" t="n"/>
      <c r="D142" s="12" t="n"/>
      <c r="E142" s="59" t="n"/>
      <c r="F142" s="33" t="n"/>
      <c r="G142" s="33" t="n"/>
      <c r="H142" s="19" t="n"/>
    </row>
    <row r="143" ht="20" customHeight="1">
      <c r="A143" s="56" t="n"/>
      <c r="B143" s="30" t="n"/>
      <c r="C143" s="30" t="n"/>
      <c r="D143" s="57" t="n"/>
      <c r="E143" s="58" t="n"/>
      <c r="F143" s="56" t="n"/>
      <c r="G143" s="56" t="n"/>
      <c r="H143" s="30" t="n"/>
    </row>
    <row r="144" ht="20" customHeight="1">
      <c r="A144" s="33" t="n"/>
      <c r="B144" s="19" t="n"/>
      <c r="C144" s="19" t="n"/>
      <c r="D144" s="12" t="n"/>
      <c r="E144" s="59" t="n"/>
      <c r="F144" s="33" t="n"/>
      <c r="G144" s="33" t="n"/>
      <c r="H144" s="19" t="n"/>
    </row>
    <row r="145" ht="20" customHeight="1">
      <c r="A145" s="56" t="n"/>
      <c r="B145" s="30" t="n"/>
      <c r="C145" s="30" t="n"/>
      <c r="D145" s="57" t="n"/>
      <c r="E145" s="58" t="n"/>
      <c r="F145" s="56" t="n"/>
      <c r="G145" s="56" t="n"/>
      <c r="H145" s="30" t="n"/>
    </row>
    <row r="146" ht="20" customHeight="1">
      <c r="A146" s="33" t="n"/>
      <c r="B146" s="19" t="n"/>
      <c r="C146" s="19" t="n"/>
      <c r="D146" s="12" t="n"/>
      <c r="E146" s="59" t="n"/>
      <c r="F146" s="33" t="n"/>
      <c r="G146" s="33" t="n"/>
      <c r="H146" s="19" t="n"/>
    </row>
    <row r="147" ht="20" customHeight="1">
      <c r="A147" s="56" t="n"/>
      <c r="B147" s="30" t="n"/>
      <c r="C147" s="30" t="n"/>
      <c r="D147" s="57" t="n"/>
      <c r="E147" s="58" t="n"/>
      <c r="F147" s="56" t="n"/>
      <c r="G147" s="56" t="n"/>
      <c r="H147" s="30" t="n"/>
    </row>
    <row r="148" ht="20" customHeight="1">
      <c r="A148" s="33" t="n"/>
      <c r="B148" s="19" t="n"/>
      <c r="C148" s="19" t="n"/>
      <c r="D148" s="12" t="n"/>
      <c r="E148" s="59" t="n"/>
      <c r="F148" s="33" t="n"/>
      <c r="G148" s="33" t="n"/>
      <c r="H148" s="19" t="n"/>
    </row>
    <row r="149" ht="20" customHeight="1">
      <c r="A149" s="56" t="n"/>
      <c r="B149" s="30" t="n"/>
      <c r="C149" s="30" t="n"/>
      <c r="D149" s="57" t="n"/>
      <c r="E149" s="58" t="n"/>
      <c r="F149" s="56" t="n"/>
      <c r="G149" s="56" t="n"/>
      <c r="H149" s="30" t="n"/>
    </row>
    <row r="150" ht="20" customHeight="1">
      <c r="A150" s="33" t="n"/>
      <c r="B150" s="19" t="n"/>
      <c r="C150" s="19" t="n"/>
      <c r="D150" s="12" t="n"/>
      <c r="E150" s="59" t="n"/>
      <c r="F150" s="33" t="n"/>
      <c r="G150" s="33" t="n"/>
      <c r="H150" s="19" t="n"/>
    </row>
    <row r="151" ht="20" customHeight="1">
      <c r="A151" s="56" t="n"/>
      <c r="B151" s="30" t="n"/>
      <c r="C151" s="30" t="n"/>
      <c r="D151" s="57" t="n"/>
      <c r="E151" s="58" t="n"/>
      <c r="F151" s="56" t="n"/>
      <c r="G151" s="56" t="n"/>
      <c r="H151" s="30" t="n"/>
    </row>
    <row r="152" ht="20" customHeight="1">
      <c r="A152" s="33" t="n"/>
      <c r="B152" s="19" t="n"/>
      <c r="C152" s="19" t="n"/>
      <c r="D152" s="12" t="n"/>
      <c r="E152" s="59" t="n"/>
      <c r="F152" s="33" t="n"/>
      <c r="G152" s="33" t="n"/>
      <c r="H152" s="19" t="n"/>
    </row>
    <row r="153" ht="20" customHeight="1">
      <c r="A153" s="56" t="n"/>
      <c r="B153" s="30" t="n"/>
      <c r="C153" s="30" t="n"/>
      <c r="D153" s="57" t="n"/>
      <c r="E153" s="58" t="n"/>
      <c r="F153" s="56" t="n"/>
      <c r="G153" s="56" t="n"/>
      <c r="H153" s="30" t="n"/>
    </row>
    <row r="154" ht="20" customHeight="1">
      <c r="A154" s="33" t="n"/>
      <c r="B154" s="19" t="n"/>
      <c r="C154" s="19" t="n"/>
      <c r="D154" s="12" t="n"/>
      <c r="E154" s="59" t="n"/>
      <c r="F154" s="33" t="n"/>
      <c r="G154" s="33" t="n"/>
      <c r="H154" s="19" t="n"/>
    </row>
    <row r="155" ht="20" customHeight="1">
      <c r="A155" s="56" t="n"/>
      <c r="B155" s="30" t="n"/>
      <c r="C155" s="30" t="n"/>
      <c r="D155" s="57" t="n"/>
      <c r="E155" s="58" t="n"/>
      <c r="F155" s="56" t="n"/>
      <c r="G155" s="56" t="n"/>
      <c r="H155" s="30" t="n"/>
    </row>
    <row r="156" ht="20" customHeight="1">
      <c r="A156" s="33" t="n"/>
      <c r="B156" s="19" t="n"/>
      <c r="C156" s="19" t="n"/>
      <c r="D156" s="12" t="n"/>
      <c r="E156" s="59" t="n"/>
      <c r="F156" s="33" t="n"/>
      <c r="G156" s="33" t="n"/>
      <c r="H156" s="19" t="n"/>
    </row>
    <row r="157" ht="20" customHeight="1">
      <c r="A157" s="56" t="n"/>
      <c r="B157" s="30" t="n"/>
      <c r="C157" s="30" t="n"/>
      <c r="D157" s="57" t="n"/>
      <c r="E157" s="58" t="n"/>
      <c r="F157" s="56" t="n"/>
      <c r="G157" s="56" t="n"/>
      <c r="H157" s="30" t="n"/>
    </row>
    <row r="158" ht="20" customHeight="1">
      <c r="A158" s="33" t="n"/>
      <c r="B158" s="19" t="n"/>
      <c r="C158" s="19" t="n"/>
      <c r="D158" s="12" t="n"/>
      <c r="E158" s="59" t="n"/>
      <c r="F158" s="33" t="n"/>
      <c r="G158" s="33" t="n"/>
      <c r="H158" s="19" t="n"/>
    </row>
    <row r="159" ht="20" customHeight="1">
      <c r="A159" s="56" t="n"/>
      <c r="B159" s="30" t="n"/>
      <c r="C159" s="30" t="n"/>
      <c r="D159" s="57" t="n"/>
      <c r="E159" s="58" t="n"/>
      <c r="F159" s="56" t="n"/>
      <c r="G159" s="56" t="n"/>
      <c r="H159" s="30" t="n"/>
    </row>
    <row r="160" ht="20" customHeight="1">
      <c r="A160" s="33" t="n"/>
      <c r="B160" s="19" t="n"/>
      <c r="C160" s="19" t="n"/>
      <c r="D160" s="12" t="n"/>
      <c r="E160" s="59" t="n"/>
      <c r="F160" s="33" t="n"/>
      <c r="G160" s="33" t="n"/>
      <c r="H160" s="19" t="n"/>
    </row>
    <row r="161" ht="20" customHeight="1">
      <c r="A161" s="56" t="n"/>
      <c r="B161" s="30" t="n"/>
      <c r="C161" s="30" t="n"/>
      <c r="D161" s="57" t="n"/>
      <c r="E161" s="58" t="n"/>
      <c r="F161" s="56" t="n"/>
      <c r="G161" s="56" t="n"/>
      <c r="H161" s="30" t="n"/>
    </row>
    <row r="162" ht="20" customHeight="1">
      <c r="A162" s="33" t="n"/>
      <c r="B162" s="19" t="n"/>
      <c r="C162" s="19" t="n"/>
      <c r="D162" s="12" t="n"/>
      <c r="E162" s="59" t="n"/>
      <c r="F162" s="33" t="n"/>
      <c r="G162" s="33" t="n"/>
      <c r="H162" s="19" t="n"/>
    </row>
    <row r="163" ht="20" customHeight="1">
      <c r="A163" s="56" t="n"/>
      <c r="B163" s="30" t="n"/>
      <c r="C163" s="30" t="n"/>
      <c r="D163" s="57" t="n"/>
      <c r="E163" s="58" t="n"/>
      <c r="F163" s="56" t="n"/>
      <c r="G163" s="56" t="n"/>
      <c r="H163" s="30" t="n"/>
    </row>
    <row r="164" ht="20" customHeight="1">
      <c r="A164" s="33" t="n"/>
      <c r="B164" s="19" t="n"/>
      <c r="C164" s="19" t="n"/>
      <c r="D164" s="12" t="n"/>
      <c r="E164" s="59" t="n"/>
      <c r="F164" s="33" t="n"/>
      <c r="G164" s="33" t="n"/>
      <c r="H164" s="19" t="n"/>
    </row>
    <row r="165" ht="20" customHeight="1">
      <c r="A165" s="56" t="n"/>
      <c r="B165" s="30" t="n"/>
      <c r="C165" s="30" t="n"/>
      <c r="D165" s="57" t="n"/>
      <c r="E165" s="58" t="n"/>
      <c r="F165" s="56" t="n"/>
      <c r="G165" s="56" t="n"/>
      <c r="H165" s="30" t="n"/>
    </row>
    <row r="166" ht="20" customHeight="1">
      <c r="A166" s="33" t="n"/>
      <c r="B166" s="19" t="n"/>
      <c r="C166" s="19" t="n"/>
      <c r="D166" s="12" t="n"/>
      <c r="E166" s="59" t="n"/>
      <c r="F166" s="33" t="n"/>
      <c r="G166" s="33" t="n"/>
      <c r="H166" s="19" t="n"/>
    </row>
    <row r="167" ht="20" customHeight="1">
      <c r="A167" s="56" t="n"/>
      <c r="B167" s="30" t="n"/>
      <c r="C167" s="30" t="n"/>
      <c r="D167" s="57" t="n"/>
      <c r="E167" s="58" t="n"/>
      <c r="F167" s="56" t="n"/>
      <c r="G167" s="56" t="n"/>
      <c r="H167" s="30" t="n"/>
    </row>
    <row r="168" ht="20" customHeight="1">
      <c r="A168" s="33" t="n"/>
      <c r="B168" s="19" t="n"/>
      <c r="C168" s="19" t="n"/>
      <c r="D168" s="12" t="n"/>
      <c r="E168" s="59" t="n"/>
      <c r="F168" s="33" t="n"/>
      <c r="G168" s="33" t="n"/>
      <c r="H168" s="19" t="n"/>
    </row>
    <row r="169" ht="20" customHeight="1">
      <c r="A169" s="56" t="n"/>
      <c r="B169" s="30" t="n"/>
      <c r="C169" s="30" t="n"/>
      <c r="D169" s="57" t="n"/>
      <c r="E169" s="58" t="n"/>
      <c r="F169" s="56" t="n"/>
      <c r="G169" s="56" t="n"/>
      <c r="H169" s="30" t="n"/>
    </row>
    <row r="170" ht="20" customHeight="1">
      <c r="A170" s="33" t="n"/>
      <c r="B170" s="19" t="n"/>
      <c r="C170" s="19" t="n"/>
      <c r="D170" s="12" t="n"/>
      <c r="E170" s="59" t="n"/>
      <c r="F170" s="33" t="n"/>
      <c r="G170" s="33" t="n"/>
      <c r="H170" s="19" t="n"/>
    </row>
    <row r="171" ht="20" customHeight="1">
      <c r="A171" s="56" t="n"/>
      <c r="B171" s="30" t="n"/>
      <c r="C171" s="30" t="n"/>
      <c r="D171" s="57" t="n"/>
      <c r="E171" s="58" t="n"/>
      <c r="F171" s="56" t="n"/>
      <c r="G171" s="56" t="n"/>
      <c r="H171" s="30" t="n"/>
    </row>
    <row r="172" ht="20" customHeight="1">
      <c r="A172" s="33" t="n"/>
      <c r="B172" s="19" t="n"/>
      <c r="C172" s="19" t="n"/>
      <c r="D172" s="12" t="n"/>
      <c r="E172" s="59" t="n"/>
      <c r="F172" s="33" t="n"/>
      <c r="G172" s="33" t="n"/>
      <c r="H172" s="19" t="n"/>
    </row>
    <row r="173" ht="20" customHeight="1">
      <c r="A173" s="56" t="n"/>
      <c r="B173" s="30" t="n"/>
      <c r="C173" s="30" t="n"/>
      <c r="D173" s="57" t="n"/>
      <c r="E173" s="58" t="n"/>
      <c r="F173" s="56" t="n"/>
      <c r="G173" s="56" t="n"/>
      <c r="H173" s="30" t="n"/>
    </row>
    <row r="174" ht="20" customHeight="1">
      <c r="A174" s="33" t="n"/>
      <c r="B174" s="19" t="n"/>
      <c r="C174" s="19" t="n"/>
      <c r="D174" s="12" t="n"/>
      <c r="E174" s="59" t="n"/>
      <c r="F174" s="33" t="n"/>
      <c r="G174" s="33" t="n"/>
      <c r="H174" s="19" t="n"/>
    </row>
    <row r="175" ht="20" customHeight="1">
      <c r="A175" s="56" t="n"/>
      <c r="B175" s="30" t="n"/>
      <c r="C175" s="30" t="n"/>
      <c r="D175" s="57" t="n"/>
      <c r="E175" s="58" t="n"/>
      <c r="F175" s="56" t="n"/>
      <c r="G175" s="56" t="n"/>
      <c r="H175" s="30" t="n"/>
    </row>
    <row r="176" ht="20" customHeight="1">
      <c r="A176" s="33" t="n"/>
      <c r="B176" s="19" t="n"/>
      <c r="C176" s="19" t="n"/>
      <c r="D176" s="12" t="n"/>
      <c r="E176" s="59" t="n"/>
      <c r="F176" s="33" t="n"/>
      <c r="G176" s="33" t="n"/>
      <c r="H176" s="19" t="n"/>
    </row>
    <row r="177" ht="20" customHeight="1">
      <c r="A177" s="56" t="n"/>
      <c r="B177" s="30" t="n"/>
      <c r="C177" s="30" t="n"/>
      <c r="D177" s="57" t="n"/>
      <c r="E177" s="58" t="n"/>
      <c r="F177" s="56" t="n"/>
      <c r="G177" s="56" t="n"/>
      <c r="H177" s="30" t="n"/>
    </row>
    <row r="178" ht="20" customHeight="1">
      <c r="A178" s="33" t="n"/>
      <c r="B178" s="19" t="n"/>
      <c r="C178" s="19" t="n"/>
      <c r="D178" s="12" t="n"/>
      <c r="E178" s="59" t="n"/>
      <c r="F178" s="33" t="n"/>
      <c r="G178" s="33" t="n"/>
      <c r="H178" s="19" t="n"/>
    </row>
    <row r="179" ht="20" customHeight="1">
      <c r="A179" s="56" t="n"/>
      <c r="B179" s="30" t="n"/>
      <c r="C179" s="30" t="n"/>
      <c r="D179" s="57" t="n"/>
      <c r="E179" s="58" t="n"/>
      <c r="F179" s="56" t="n"/>
      <c r="G179" s="56" t="n"/>
      <c r="H179" s="30" t="n"/>
    </row>
    <row r="180" ht="20" customHeight="1">
      <c r="A180" s="33" t="n"/>
      <c r="B180" s="19" t="n"/>
      <c r="C180" s="19" t="n"/>
      <c r="D180" s="12" t="n"/>
      <c r="E180" s="59" t="n"/>
      <c r="F180" s="33" t="n"/>
      <c r="G180" s="33" t="n"/>
      <c r="H180" s="19" t="n"/>
    </row>
    <row r="181" ht="20" customHeight="1">
      <c r="A181" s="56" t="n"/>
      <c r="B181" s="30" t="n"/>
      <c r="C181" s="30" t="n"/>
      <c r="D181" s="57" t="n"/>
      <c r="E181" s="58" t="n"/>
      <c r="F181" s="56" t="n"/>
      <c r="G181" s="56" t="n"/>
      <c r="H181" s="30" t="n"/>
    </row>
    <row r="182" ht="20" customHeight="1">
      <c r="A182" s="33" t="n"/>
      <c r="B182" s="19" t="n"/>
      <c r="C182" s="19" t="n"/>
      <c r="D182" s="12" t="n"/>
      <c r="E182" s="59" t="n"/>
      <c r="F182" s="33" t="n"/>
      <c r="G182" s="33" t="n"/>
      <c r="H182" s="19" t="n"/>
    </row>
    <row r="183" ht="20" customHeight="1">
      <c r="A183" s="56" t="n"/>
      <c r="B183" s="30" t="n"/>
      <c r="C183" s="30" t="n"/>
      <c r="D183" s="57" t="n"/>
      <c r="E183" s="58" t="n"/>
      <c r="F183" s="56" t="n"/>
      <c r="G183" s="56" t="n"/>
      <c r="H183" s="30" t="n"/>
    </row>
    <row r="184" ht="20" customHeight="1">
      <c r="A184" s="33" t="n"/>
      <c r="B184" s="19" t="n"/>
      <c r="C184" s="19" t="n"/>
      <c r="D184" s="12" t="n"/>
      <c r="E184" s="59" t="n"/>
      <c r="F184" s="33" t="n"/>
      <c r="G184" s="33" t="n"/>
      <c r="H184" s="19" t="n"/>
    </row>
    <row r="185" ht="20" customHeight="1">
      <c r="A185" s="56" t="n"/>
      <c r="B185" s="30" t="n"/>
      <c r="C185" s="30" t="n"/>
      <c r="D185" s="57" t="n"/>
      <c r="E185" s="58" t="n"/>
      <c r="F185" s="56" t="n"/>
      <c r="G185" s="56" t="n"/>
      <c r="H185" s="30" t="n"/>
    </row>
    <row r="186" ht="20" customHeight="1">
      <c r="A186" s="33" t="n"/>
      <c r="B186" s="19" t="n"/>
      <c r="C186" s="19" t="n"/>
      <c r="D186" s="12" t="n"/>
      <c r="E186" s="59" t="n"/>
      <c r="F186" s="33" t="n"/>
      <c r="G186" s="33" t="n"/>
      <c r="H186" s="19" t="n"/>
    </row>
    <row r="187" ht="20" customHeight="1">
      <c r="A187" s="56" t="n"/>
      <c r="B187" s="30" t="n"/>
      <c r="C187" s="30" t="n"/>
      <c r="D187" s="57" t="n"/>
      <c r="E187" s="58" t="n"/>
      <c r="F187" s="56" t="n"/>
      <c r="G187" s="56" t="n"/>
      <c r="H187" s="30" t="n"/>
    </row>
    <row r="188" ht="20" customHeight="1">
      <c r="A188" s="33" t="n"/>
      <c r="B188" s="19" t="n"/>
      <c r="C188" s="19" t="n"/>
      <c r="D188" s="12" t="n"/>
      <c r="E188" s="59" t="n"/>
      <c r="F188" s="33" t="n"/>
      <c r="G188" s="33" t="n"/>
      <c r="H188" s="19" t="n"/>
    </row>
    <row r="189" ht="20" customHeight="1">
      <c r="A189" s="56" t="n"/>
      <c r="B189" s="30" t="n"/>
      <c r="C189" s="30" t="n"/>
      <c r="D189" s="57" t="n"/>
      <c r="E189" s="58" t="n"/>
      <c r="F189" s="56" t="n"/>
      <c r="G189" s="56" t="n"/>
      <c r="H189" s="30" t="n"/>
    </row>
    <row r="190" ht="20" customHeight="1">
      <c r="A190" s="33" t="n"/>
      <c r="B190" s="19" t="n"/>
      <c r="C190" s="19" t="n"/>
      <c r="D190" s="12" t="n"/>
      <c r="E190" s="59" t="n"/>
      <c r="F190" s="33" t="n"/>
      <c r="G190" s="33" t="n"/>
      <c r="H190" s="19" t="n"/>
    </row>
    <row r="191" ht="20" customHeight="1">
      <c r="A191" s="56" t="n"/>
      <c r="B191" s="30" t="n"/>
      <c r="C191" s="30" t="n"/>
      <c r="D191" s="57" t="n"/>
      <c r="E191" s="58" t="n"/>
      <c r="F191" s="56" t="n"/>
      <c r="G191" s="56" t="n"/>
      <c r="H191" s="30" t="n"/>
    </row>
    <row r="192" ht="20" customHeight="1">
      <c r="A192" s="33" t="n"/>
      <c r="B192" s="19" t="n"/>
      <c r="C192" s="19" t="n"/>
      <c r="D192" s="12" t="n"/>
      <c r="E192" s="59" t="n"/>
      <c r="F192" s="33" t="n"/>
      <c r="G192" s="33" t="n"/>
      <c r="H192" s="19" t="n"/>
    </row>
    <row r="193" ht="20" customHeight="1">
      <c r="A193" s="56" t="n"/>
      <c r="B193" s="30" t="n"/>
      <c r="C193" s="30" t="n"/>
      <c r="D193" s="57" t="n"/>
      <c r="E193" s="58" t="n"/>
      <c r="F193" s="56" t="n"/>
      <c r="G193" s="56" t="n"/>
      <c r="H193" s="30" t="n"/>
    </row>
    <row r="194" ht="20" customHeight="1">
      <c r="A194" s="33" t="n"/>
      <c r="B194" s="19" t="n"/>
      <c r="C194" s="19" t="n"/>
      <c r="D194" s="12" t="n"/>
      <c r="E194" s="59" t="n"/>
      <c r="F194" s="33" t="n"/>
      <c r="G194" s="33" t="n"/>
      <c r="H194" s="19" t="n"/>
    </row>
    <row r="195" ht="20" customHeight="1">
      <c r="A195" s="56" t="n"/>
      <c r="B195" s="30" t="n"/>
      <c r="C195" s="30" t="n"/>
      <c r="D195" s="57" t="n"/>
      <c r="E195" s="58" t="n"/>
      <c r="F195" s="56" t="n"/>
      <c r="G195" s="56" t="n"/>
      <c r="H195" s="30" t="n"/>
    </row>
    <row r="196" ht="20" customHeight="1">
      <c r="A196" s="33" t="n"/>
      <c r="B196" s="19" t="n"/>
      <c r="C196" s="19" t="n"/>
      <c r="D196" s="12" t="n"/>
      <c r="E196" s="59" t="n"/>
      <c r="F196" s="33" t="n"/>
      <c r="G196" s="33" t="n"/>
      <c r="H196" s="19" t="n"/>
    </row>
    <row r="197" ht="20" customHeight="1">
      <c r="A197" s="56" t="n"/>
      <c r="B197" s="30" t="n"/>
      <c r="C197" s="30" t="n"/>
      <c r="D197" s="57" t="n"/>
      <c r="E197" s="58" t="n"/>
      <c r="F197" s="56" t="n"/>
      <c r="G197" s="56" t="n"/>
      <c r="H197" s="30" t="n"/>
    </row>
    <row r="198" ht="20" customHeight="1">
      <c r="A198" s="33" t="n"/>
      <c r="B198" s="19" t="n"/>
      <c r="C198" s="19" t="n"/>
      <c r="D198" s="12" t="n"/>
      <c r="E198" s="59" t="n"/>
      <c r="F198" s="33" t="n"/>
      <c r="G198" s="33" t="n"/>
      <c r="H198" s="19" t="n"/>
    </row>
    <row r="199" ht="20" customHeight="1">
      <c r="A199" s="56" t="n"/>
      <c r="B199" s="30" t="n"/>
      <c r="C199" s="30" t="n"/>
      <c r="D199" s="57" t="n"/>
      <c r="E199" s="58" t="n"/>
      <c r="F199" s="56" t="n"/>
      <c r="G199" s="56" t="n"/>
      <c r="H199" s="30" t="n"/>
    </row>
    <row r="200" ht="20" customHeight="1">
      <c r="A200" s="33" t="n"/>
      <c r="B200" s="19" t="n"/>
      <c r="C200" s="19" t="n"/>
      <c r="D200" s="12" t="n"/>
      <c r="E200" s="59" t="n"/>
      <c r="F200" s="33" t="n"/>
      <c r="G200" s="33" t="n"/>
      <c r="H200" s="19" t="n"/>
    </row>
    <row r="201" ht="20" customHeight="1">
      <c r="A201" s="56" t="n"/>
      <c r="B201" s="30" t="n"/>
      <c r="C201" s="30" t="n"/>
      <c r="D201" s="57" t="n"/>
      <c r="E201" s="58" t="n"/>
      <c r="F201" s="56" t="n"/>
      <c r="G201" s="56" t="n"/>
      <c r="H201" s="30" t="n"/>
    </row>
    <row r="202" ht="20" customHeight="1">
      <c r="A202" s="33" t="n"/>
      <c r="B202" s="19" t="n"/>
      <c r="C202" s="19" t="n"/>
      <c r="D202" s="12" t="n"/>
      <c r="E202" s="59" t="n"/>
      <c r="F202" s="33" t="n"/>
      <c r="G202" s="33" t="n"/>
      <c r="H202" s="19" t="n"/>
    </row>
    <row r="203" ht="20" customHeight="1">
      <c r="A203" s="56" t="n"/>
      <c r="B203" s="30" t="n"/>
      <c r="C203" s="30" t="n"/>
      <c r="D203" s="57" t="n"/>
      <c r="E203" s="58" t="n"/>
      <c r="F203" s="56" t="n"/>
      <c r="G203" s="56" t="n"/>
      <c r="H203" s="30" t="n"/>
    </row>
    <row r="204" ht="20" customHeight="1">
      <c r="A204" s="33" t="n"/>
      <c r="B204" s="19" t="n"/>
      <c r="C204" s="19" t="n"/>
      <c r="D204" s="12" t="n"/>
      <c r="E204" s="59" t="n"/>
      <c r="F204" s="33" t="n"/>
      <c r="G204" s="33" t="n"/>
      <c r="H204" s="19" t="n"/>
    </row>
    <row r="205" ht="20" customHeight="1">
      <c r="A205" s="56" t="n"/>
      <c r="B205" s="30" t="n"/>
      <c r="C205" s="30" t="n"/>
      <c r="D205" s="57" t="n"/>
      <c r="E205" s="58" t="n"/>
      <c r="F205" s="56" t="n"/>
      <c r="G205" s="56" t="n"/>
      <c r="H205" s="30" t="n"/>
    </row>
    <row r="206" ht="20" customHeight="1">
      <c r="A206" s="33" t="n"/>
      <c r="B206" s="19" t="n"/>
      <c r="C206" s="19" t="n"/>
      <c r="D206" s="12" t="n"/>
      <c r="E206" s="59" t="n"/>
      <c r="F206" s="33" t="n"/>
      <c r="G206" s="33" t="n"/>
      <c r="H206" s="19" t="n"/>
    </row>
    <row r="207" ht="20" customHeight="1">
      <c r="A207" s="56" t="n"/>
      <c r="B207" s="30" t="n"/>
      <c r="C207" s="30" t="n"/>
      <c r="D207" s="57" t="n"/>
      <c r="E207" s="58" t="n"/>
      <c r="F207" s="56" t="n"/>
      <c r="G207" s="56" t="n"/>
      <c r="H207" s="30" t="n"/>
    </row>
    <row r="208" ht="20" customHeight="1">
      <c r="A208" s="33" t="n"/>
      <c r="B208" s="19" t="n"/>
      <c r="C208" s="19" t="n"/>
      <c r="D208" s="12" t="n"/>
      <c r="E208" s="59" t="n"/>
      <c r="F208" s="33" t="n"/>
      <c r="G208" s="33" t="n"/>
      <c r="H208" s="19" t="n"/>
    </row>
    <row r="209" ht="20" customHeight="1">
      <c r="A209" s="56" t="n"/>
      <c r="B209" s="30" t="n"/>
      <c r="C209" s="30" t="n"/>
      <c r="D209" s="57" t="n"/>
      <c r="E209" s="58" t="n"/>
      <c r="F209" s="56" t="n"/>
      <c r="G209" s="56" t="n"/>
      <c r="H209" s="30" t="n"/>
    </row>
    <row r="210" ht="20" customHeight="1">
      <c r="A210" s="33" t="n"/>
      <c r="B210" s="19" t="n"/>
      <c r="C210" s="19" t="n"/>
      <c r="D210" s="12" t="n"/>
      <c r="E210" s="59" t="n"/>
      <c r="F210" s="33" t="n"/>
      <c r="G210" s="33" t="n"/>
      <c r="H210" s="19" t="n"/>
    </row>
    <row r="211" ht="20" customHeight="1">
      <c r="A211" s="56" t="n"/>
      <c r="B211" s="30" t="n"/>
      <c r="C211" s="30" t="n"/>
      <c r="D211" s="57" t="n"/>
      <c r="E211" s="58" t="n"/>
      <c r="F211" s="56" t="n"/>
      <c r="G211" s="56" t="n"/>
      <c r="H211" s="30" t="n"/>
    </row>
    <row r="212" ht="20" customHeight="1">
      <c r="A212" s="33" t="n"/>
      <c r="B212" s="19" t="n"/>
      <c r="C212" s="19" t="n"/>
      <c r="D212" s="12" t="n"/>
      <c r="E212" s="59" t="n"/>
      <c r="F212" s="33" t="n"/>
      <c r="G212" s="33" t="n"/>
      <c r="H212" s="19" t="n"/>
    </row>
    <row r="213" ht="20" customHeight="1">
      <c r="A213" s="56" t="n"/>
      <c r="B213" s="30" t="n"/>
      <c r="C213" s="30" t="n"/>
      <c r="D213" s="57" t="n"/>
      <c r="E213" s="58" t="n"/>
      <c r="F213" s="56" t="n"/>
      <c r="G213" s="56" t="n"/>
      <c r="H213" s="30" t="n"/>
    </row>
    <row r="214" ht="20" customHeight="1">
      <c r="A214" s="33" t="n"/>
      <c r="B214" s="19" t="n"/>
      <c r="C214" s="19" t="n"/>
      <c r="D214" s="12" t="n"/>
      <c r="E214" s="59" t="n"/>
      <c r="F214" s="33" t="n"/>
      <c r="G214" s="33" t="n"/>
      <c r="H214" s="19" t="n"/>
    </row>
    <row r="215" ht="20" customHeight="1">
      <c r="A215" s="56" t="n"/>
      <c r="B215" s="30" t="n"/>
      <c r="C215" s="30" t="n"/>
      <c r="D215" s="57" t="n"/>
      <c r="E215" s="58" t="n"/>
      <c r="F215" s="56" t="n"/>
      <c r="G215" s="56" t="n"/>
      <c r="H215" s="30" t="n"/>
    </row>
    <row r="216" ht="20" customHeight="1">
      <c r="A216" s="33" t="n"/>
      <c r="B216" s="19" t="n"/>
      <c r="C216" s="19" t="n"/>
      <c r="D216" s="12" t="n"/>
      <c r="E216" s="59" t="n"/>
      <c r="F216" s="33" t="n"/>
      <c r="G216" s="33" t="n"/>
      <c r="H216" s="19" t="n"/>
    </row>
    <row r="217" ht="20" customHeight="1">
      <c r="A217" s="56" t="n"/>
      <c r="B217" s="30" t="n"/>
      <c r="C217" s="30" t="n"/>
      <c r="D217" s="57" t="n"/>
      <c r="E217" s="58" t="n"/>
      <c r="F217" s="56" t="n"/>
      <c r="G217" s="56" t="n"/>
      <c r="H217" s="30" t="n"/>
    </row>
    <row r="218" ht="20" customHeight="1">
      <c r="A218" s="33" t="n"/>
      <c r="B218" s="19" t="n"/>
      <c r="C218" s="19" t="n"/>
      <c r="D218" s="12" t="n"/>
      <c r="E218" s="59" t="n"/>
      <c r="F218" s="33" t="n"/>
      <c r="G218" s="33" t="n"/>
      <c r="H218" s="19" t="n"/>
    </row>
    <row r="219" ht="20" customHeight="1">
      <c r="A219" s="56" t="n"/>
      <c r="B219" s="30" t="n"/>
      <c r="C219" s="30" t="n"/>
      <c r="D219" s="57" t="n"/>
      <c r="E219" s="58" t="n"/>
      <c r="F219" s="56" t="n"/>
      <c r="G219" s="56" t="n"/>
      <c r="H219" s="30" t="n"/>
    </row>
    <row r="220" ht="20" customHeight="1">
      <c r="A220" s="33" t="n"/>
      <c r="B220" s="19" t="n"/>
      <c r="C220" s="19" t="n"/>
      <c r="D220" s="12" t="n"/>
      <c r="E220" s="59" t="n"/>
      <c r="F220" s="33" t="n"/>
      <c r="G220" s="33" t="n"/>
      <c r="H220" s="19" t="n"/>
    </row>
    <row r="221" ht="20" customHeight="1"/>
    <row r="222" ht="28" customHeight="1">
      <c r="A222" s="60" t="inlineStr">
        <is>
          <t>TOTAL INCOME</t>
        </is>
      </c>
      <c r="E222" s="61">
        <f>SUMIF(B6:B220,"Income",E6:E220)</f>
        <v/>
      </c>
    </row>
    <row r="223" ht="28" customHeight="1">
      <c r="A223" s="62" t="inlineStr">
        <is>
          <t>TOTAL EXPENSES</t>
        </is>
      </c>
      <c r="E223" s="63">
        <f>SUMIF(B6:B220,"Expense",E6:E220)</f>
        <v/>
      </c>
    </row>
    <row r="224" ht="32" customHeight="1">
      <c r="A224" s="64" t="inlineStr">
        <is>
          <t>NET BALANCE (Income − Expenses)</t>
        </is>
      </c>
      <c r="E224" s="65">
        <f>E222-E223</f>
        <v/>
      </c>
    </row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</sheetData>
  <mergeCells count="5">
    <mergeCell ref="A3:H3"/>
    <mergeCell ref="A224:D224"/>
    <mergeCell ref="A2:H2"/>
    <mergeCell ref="A223:D223"/>
    <mergeCell ref="A222:D2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4" customWidth="1" min="5" max="5"/>
    <col width="16" customWidth="1" min="6" max="6"/>
    <col width="3" customWidth="1" min="7" max="7"/>
  </cols>
  <sheetData>
    <row r="1" ht="8" customHeight="1"/>
    <row r="2" ht="42" customHeight="1">
      <c r="B2" s="66" t="inlineStr">
        <is>
          <t>FINANCIAL DASHBOARD — 2026</t>
        </is>
      </c>
    </row>
    <row r="3" ht="22" customHeight="1">
      <c r="B3" s="22" t="inlineStr">
        <is>
          <t>Live summary — updates automatically as you enter transactions</t>
        </is>
      </c>
    </row>
    <row r="4" ht="22" customHeight="1"/>
    <row r="5" ht="28" customHeight="1">
      <c r="B5" s="67" t="inlineStr">
        <is>
          <t>💰 TOTAL INCOME</t>
        </is>
      </c>
      <c r="C5" s="68" t="inlineStr">
        <is>
          <t>💳 TOTAL EXPENSES</t>
        </is>
      </c>
      <c r="D5" s="69" t="inlineStr">
        <is>
          <t>📊 NET BALANCE</t>
        </is>
      </c>
      <c r="E5" s="8" t="inlineStr">
        <is>
          <t>🎯 SAVINGS RATE</t>
        </is>
      </c>
    </row>
    <row r="6" ht="42" customHeight="1">
      <c r="B6" s="70">
        <f>SUMIF('Monthly Tracker'!B6:B220,"Income",'Monthly Tracker'!E6:E220)</f>
        <v/>
      </c>
      <c r="C6" s="71">
        <f>SUMIF('Monthly Tracker'!B6:B220,"Expense",'Monthly Tracker'!E6:E220)</f>
        <v/>
      </c>
      <c r="D6" s="72">
        <f>SUMIF('Monthly Tracker'!B6:B220,"Income",'Monthly Tracker'!E6:E220)-SUMIF('Monthly Tracker'!B6:B220,"Expense",'Monthly Tracker'!E6:E220)</f>
        <v/>
      </c>
      <c r="E6" s="73">
        <f>IF(SUMIF('Monthly Tracker'!B6:B220,"Income",'Monthly Tracker'!E6:E220)=0,0,(SUMIF('Monthly Tracker'!B6:B220,"Income",'Monthly Tracker'!E6:E220)-SUMIF('Monthly Tracker'!B6:B220,"Expense",'Monthly Tracker'!E6:E220))/SUMIF('Monthly Tracker'!B6:B220,"Income",'Monthly Tracker'!E6:E220))</f>
        <v/>
      </c>
    </row>
    <row r="7" ht="22" customHeight="1">
      <c r="B7" s="74" t="inlineStr"/>
      <c r="C7" s="74" t="inlineStr"/>
      <c r="D7" s="74" t="inlineStr"/>
      <c r="E7" s="74" t="inlineStr"/>
    </row>
    <row r="8" ht="8" customHeight="1"/>
    <row r="9" ht="22" customHeight="1"/>
    <row r="10" ht="28" customHeight="1">
      <c r="B10" s="10" t="inlineStr">
        <is>
          <t>BUDGET vs ACTUAL — CURRENT MONTH</t>
        </is>
      </c>
    </row>
    <row r="11" ht="26" customHeight="1">
      <c r="B11" s="24" t="inlineStr">
        <is>
          <t>Category</t>
        </is>
      </c>
      <c r="C11" s="24" t="inlineStr">
        <is>
          <t>Budget Target</t>
        </is>
      </c>
      <c r="D11" s="24" t="inlineStr">
        <is>
          <t>Actual Spent</t>
        </is>
      </c>
      <c r="E11" s="24" t="inlineStr">
        <is>
          <t>Variance</t>
        </is>
      </c>
      <c r="F11" s="24" t="inlineStr">
        <is>
          <t>Status</t>
        </is>
      </c>
    </row>
    <row r="12" ht="22" customHeight="1">
      <c r="B12" s="19" t="inlineStr">
        <is>
          <t>Housing</t>
        </is>
      </c>
      <c r="C12" s="59" t="n">
        <v>2000</v>
      </c>
      <c r="D12" s="59">
        <f>SUMIFS('Monthly Tracker'!E6:E220,'Monthly Tracker'!B6:B220,"Expense",'Monthly Tracker'!C6:C220,"Housing")</f>
        <v/>
      </c>
      <c r="E12" s="59">
        <f>C12-D12</f>
        <v/>
      </c>
      <c r="F12" s="33">
        <f>IF(D12&lt;=C12,"✓ Under Budget","✗ Over Budget")</f>
        <v/>
      </c>
    </row>
    <row r="13" ht="22" customHeight="1">
      <c r="B13" s="30" t="inlineStr">
        <is>
          <t>Groceries</t>
        </is>
      </c>
      <c r="C13" s="58" t="n">
        <v>500</v>
      </c>
      <c r="D13" s="58">
        <f>SUMIFS('Monthly Tracker'!E6:E220,'Monthly Tracker'!B6:B220,"Expense",'Monthly Tracker'!C6:C220,"Groceries")</f>
        <v/>
      </c>
      <c r="E13" s="58">
        <f>C13-D13</f>
        <v/>
      </c>
      <c r="F13" s="56">
        <f>IF(D13&lt;=C13,"✓ Under Budget","✗ Over Budget")</f>
        <v/>
      </c>
    </row>
    <row r="14" ht="22" customHeight="1">
      <c r="B14" s="19" t="inlineStr">
        <is>
          <t>Transportation</t>
        </is>
      </c>
      <c r="C14" s="59" t="n">
        <v>350</v>
      </c>
      <c r="D14" s="59">
        <f>SUMIFS('Monthly Tracker'!E6:E220,'Monthly Tracker'!B6:B220,"Expense",'Monthly Tracker'!C6:C220,"Transportation")</f>
        <v/>
      </c>
      <c r="E14" s="59">
        <f>C14-D14</f>
        <v/>
      </c>
      <c r="F14" s="33">
        <f>IF(D14&lt;=C14,"✓ Under Budget","✗ Over Budget")</f>
        <v/>
      </c>
    </row>
    <row r="15" ht="22" customHeight="1">
      <c r="B15" s="30" t="inlineStr">
        <is>
          <t>Utilities</t>
        </is>
      </c>
      <c r="C15" s="58" t="n">
        <v>180</v>
      </c>
      <c r="D15" s="58">
        <f>SUMIFS('Monthly Tracker'!E6:E220,'Monthly Tracker'!B6:B220,"Expense",'Monthly Tracker'!C6:C220,"Utilities")</f>
        <v/>
      </c>
      <c r="E15" s="58">
        <f>C15-D15</f>
        <v/>
      </c>
      <c r="F15" s="56">
        <f>IF(D15&lt;=C15,"✓ Under Budget","✗ Over Budget")</f>
        <v/>
      </c>
    </row>
    <row r="16" ht="22" customHeight="1">
      <c r="B16" s="19" t="inlineStr">
        <is>
          <t>Dining Out</t>
        </is>
      </c>
      <c r="C16" s="59" t="n">
        <v>200</v>
      </c>
      <c r="D16" s="59">
        <f>SUMIFS('Monthly Tracker'!E6:E220,'Monthly Tracker'!B6:B220,"Expense",'Monthly Tracker'!C6:C220,"Dining Out")</f>
        <v/>
      </c>
      <c r="E16" s="59">
        <f>C16-D16</f>
        <v/>
      </c>
      <c r="F16" s="33">
        <f>IF(D16&lt;=C16,"✓ Under Budget","✗ Over Budget")</f>
        <v/>
      </c>
    </row>
    <row r="17" ht="22" customHeight="1">
      <c r="B17" s="30" t="inlineStr">
        <is>
          <t>Entertainment</t>
        </is>
      </c>
      <c r="C17" s="58" t="n">
        <v>100</v>
      </c>
      <c r="D17" s="58">
        <f>SUMIFS('Monthly Tracker'!E6:E220,'Monthly Tracker'!B6:B220,"Expense",'Monthly Tracker'!C6:C220,"Entertainment")</f>
        <v/>
      </c>
      <c r="E17" s="58">
        <f>C17-D17</f>
        <v/>
      </c>
      <c r="F17" s="56">
        <f>IF(D17&lt;=C17,"✓ Under Budget","✗ Over Budget")</f>
        <v/>
      </c>
    </row>
    <row r="18" ht="22" customHeight="1">
      <c r="B18" s="19" t="inlineStr">
        <is>
          <t>Shopping</t>
        </is>
      </c>
      <c r="C18" s="59" t="n">
        <v>150</v>
      </c>
      <c r="D18" s="59">
        <f>SUMIFS('Monthly Tracker'!E6:E220,'Monthly Tracker'!B6:B220,"Expense",'Monthly Tracker'!C6:C220,"Shopping")</f>
        <v/>
      </c>
      <c r="E18" s="59">
        <f>C18-D18</f>
        <v/>
      </c>
      <c r="F18" s="33">
        <f>IF(D18&lt;=C18,"✓ Under Budget","✗ Over Budget")</f>
        <v/>
      </c>
    </row>
    <row r="19" ht="22" customHeight="1">
      <c r="B19" s="30" t="inlineStr">
        <is>
          <t>Emergency Fund</t>
        </is>
      </c>
      <c r="C19" s="58" t="n">
        <v>300</v>
      </c>
      <c r="D19" s="58">
        <f>SUMIFS('Monthly Tracker'!E6:E220,'Monthly Tracker'!B6:B220,"Expense",'Monthly Tracker'!C6:C220,"Emergency Fund")</f>
        <v/>
      </c>
      <c r="E19" s="58">
        <f>C19-D19</f>
        <v/>
      </c>
      <c r="F19" s="56">
        <f>IF(D19&lt;=C19,"✓ Under Budget","✗ Over Budget")</f>
        <v/>
      </c>
    </row>
    <row r="20" ht="22" customHeight="1">
      <c r="B20" s="19" t="inlineStr">
        <is>
          <t>Debt Payment</t>
        </is>
      </c>
      <c r="C20" s="59" t="n">
        <v>500</v>
      </c>
      <c r="D20" s="59">
        <f>SUMIFS('Monthly Tracker'!E6:E220,'Monthly Tracker'!B6:B220,"Expense",'Monthly Tracker'!C6:C220,"Debt Payment")</f>
        <v/>
      </c>
      <c r="E20" s="59">
        <f>C20-D20</f>
        <v/>
      </c>
      <c r="F20" s="33">
        <f>IF(D20&lt;=C20,"✓ Under Budget","✗ Over Budget")</f>
        <v/>
      </c>
    </row>
    <row r="21" ht="22" customHeight="1">
      <c r="B21" s="30" t="inlineStr">
        <is>
          <t>Healthcare</t>
        </is>
      </c>
      <c r="C21" s="58" t="n">
        <v>150</v>
      </c>
      <c r="D21" s="58">
        <f>SUMIFS('Monthly Tracker'!E6:E220,'Monthly Tracker'!B6:B220,"Expense",'Monthly Tracker'!C6:C220,"Healthcare")</f>
        <v/>
      </c>
      <c r="E21" s="58">
        <f>C21-D21</f>
        <v/>
      </c>
      <c r="F21" s="56">
        <f>IF(D21&lt;=C21,"✓ Under Budget","✗ Over Budget")</f>
        <v/>
      </c>
    </row>
    <row r="22" ht="22" customHeight="1"/>
    <row r="23" ht="28" customHeight="1">
      <c r="B23" s="10" t="inlineStr">
        <is>
          <t>50/30/20 BUDGET ANALYSIS</t>
        </is>
      </c>
    </row>
    <row r="24" ht="22" customHeight="1">
      <c r="B24" s="75" t="inlineStr">
        <is>
          <t>Category</t>
        </is>
      </c>
      <c r="C24" s="75" t="inlineStr">
        <is>
          <t>Target %</t>
        </is>
      </c>
      <c r="D24" s="75" t="inlineStr">
        <is>
          <t>Target Amount</t>
        </is>
      </c>
      <c r="E24" s="75" t="inlineStr">
        <is>
          <t>Actual Amount</t>
        </is>
      </c>
      <c r="F24" s="75" t="inlineStr">
        <is>
          <t>Status</t>
        </is>
      </c>
    </row>
    <row r="25" ht="24" customHeight="1">
      <c r="B25" s="76" t="inlineStr">
        <is>
          <t>Needs (50%)</t>
        </is>
      </c>
      <c r="C25" s="77" t="n">
        <v>0.5</v>
      </c>
      <c r="D25" s="58">
        <f>SUMIF('Monthly Tracker'!B6:B220,"Income",'Monthly Tracker'!E6:E220)*0.5</f>
        <v/>
      </c>
      <c r="E25" s="58">
        <f>SUMIFS('Monthly Tracker'!E6:E220,'Monthly Tracker'!B6:B220,"Expense",'Monthly Tracker'!C6:C220,"Housing")+SUMIFS('Monthly Tracker'!E6:E220,'Monthly Tracker'!B6:B220,"Expense",'Monthly Tracker'!C6:C220,"Utilities")+SUMIFS('Monthly Tracker'!E6:E220,'Monthly Tracker'!B6:B220,"Expense",'Monthly Tracker'!C6:C220,"Groceries")+SUMIFS('Monthly Tracker'!E6:E220,'Monthly Tracker'!B6:B220,"Expense",'Monthly Tracker'!C6:C220,"Transportation")+SUMIFS('Monthly Tracker'!E6:E220,'Monthly Tracker'!B6:B220,"Expense",'Monthly Tracker'!C6:C220,"Insurance")+SUMIFS('Monthly Tracker'!E6:E220,'Monthly Tracker'!B6:B220,"Expense",'Monthly Tracker'!C6:C220,"Healthcare")+SUMIFS('Monthly Tracker'!E6:E220,'Monthly Tracker'!B6:B220,"Expense",'Monthly Tracker'!C6:C220,"Debt Payment")</f>
        <v/>
      </c>
      <c r="F25" s="78">
        <f>IF(E25&lt;=D25,"✓ On Track","⚠ Adjust")</f>
        <v/>
      </c>
    </row>
    <row r="26" ht="24" customHeight="1">
      <c r="B26" s="79" t="inlineStr">
        <is>
          <t>Wants (30%)</t>
        </is>
      </c>
      <c r="C26" s="77" t="n">
        <v>0.3</v>
      </c>
      <c r="D26" s="58">
        <f>SUMIF('Monthly Tracker'!B6:B220,"Income",'Monthly Tracker'!E6:E220)*0.3</f>
        <v/>
      </c>
      <c r="E26" s="58">
        <f>SUMIFS('Monthly Tracker'!E6:E220,'Monthly Tracker'!B6:B220,"Expense",'Monthly Tracker'!C6:C220,"Dining Out")+SUMIFS('Monthly Tracker'!E6:E220,'Monthly Tracker'!B6:B220,"Expense",'Monthly Tracker'!C6:C220,"Entertainment")+SUMIFS('Monthly Tracker'!E6:E220,'Monthly Tracker'!B6:B220,"Expense",'Monthly Tracker'!C6:C220,"Shopping")+SUMIFS('Monthly Tracker'!E6:E220,'Monthly Tracker'!B6:B220,"Expense",'Monthly Tracker'!C6:C220,"Travel")+SUMIFS('Monthly Tracker'!E6:E220,'Monthly Tracker'!B6:B220,"Expense",'Monthly Tracker'!C6:C220,"Hobbies")+SUMIFS('Monthly Tracker'!E6:E220,'Monthly Tracker'!B6:B220,"Expense",'Monthly Tracker'!C6:C220,"Subscriptions")+SUMIFS('Monthly Tracker'!E6:E220,'Monthly Tracker'!B6:B220,"Expense",'Monthly Tracker'!C6:C220,"Education")+SUMIFS('Monthly Tracker'!E6:E220,'Monthly Tracker'!B6:B220,"Expense",'Monthly Tracker'!C6:C220,"Gifts/Donations")</f>
        <v/>
      </c>
      <c r="F26" s="78">
        <f>IF(E26&lt;=D26,"✓ On Track","⚠ Adjust")</f>
        <v/>
      </c>
    </row>
    <row r="27" ht="24" customHeight="1">
      <c r="B27" s="80" t="inlineStr">
        <is>
          <t>Savings (20%)</t>
        </is>
      </c>
      <c r="C27" s="77" t="n">
        <v>0.2</v>
      </c>
      <c r="D27" s="58">
        <f>SUMIF('Monthly Tracker'!B6:B220,"Income",'Monthly Tracker'!E6:E220)*0.2</f>
        <v/>
      </c>
      <c r="E27" s="58">
        <f>SUMIFS('Monthly Tracker'!E6:E220,'Monthly Tracker'!B6:B220,"Expense",'Monthly Tracker'!C6:C220,"Emergency Fund")+SUMIFS('Monthly Tracker'!E6:E220,'Monthly Tracker'!B6:B220,"Expense",'Monthly Tracker'!C6:C220,"Retirement")+SUMIFS('Monthly Tracker'!E6:E220,'Monthly Tracker'!B6:B220,"Expense",'Monthly Tracker'!C6:C220,"Investments")</f>
        <v/>
      </c>
      <c r="F27" s="78">
        <f>IF(E27&lt;=D27,"✓ On Track","⚠ Adjust")</f>
        <v/>
      </c>
    </row>
    <row r="28" ht="22" customHeight="1"/>
    <row r="29" ht="22" customHeight="1">
      <c r="B29" s="81" t="inlineStr">
        <is>
          <t>💡  Tip: Add transactions to 'Monthly Tracker' and this dashboard updates automatically!</t>
        </is>
      </c>
    </row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7">
    <mergeCell ref="B29:F29"/>
    <mergeCell ref="B2:F2"/>
    <mergeCell ref="B10:F10"/>
    <mergeCell ref="C7"/>
    <mergeCell ref="B3:F3"/>
    <mergeCell ref="B7"/>
    <mergeCell ref="B6"/>
    <mergeCell ref="D5"/>
    <mergeCell ref="D6"/>
    <mergeCell ref="C6"/>
    <mergeCell ref="D7"/>
    <mergeCell ref="E6"/>
    <mergeCell ref="E7"/>
    <mergeCell ref="B23:F23"/>
    <mergeCell ref="B5"/>
    <mergeCell ref="C5"/>
    <mergeCell ref="E5"/>
  </mergeCells>
  <conditionalFormatting sqref="F12:F21">
    <cfRule type="expression" priority="1" dxfId="0">
      <formula>F12="✓ Under Budget"</formula>
    </cfRule>
    <cfRule type="expression" priority="2" dxfId="1">
      <formula>F12="✗ Over Budget"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A9D8F"/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4" customWidth="1" min="5" max="5"/>
    <col width="12" customWidth="1" min="6" max="6"/>
    <col width="26" customWidth="1" min="7" max="7"/>
    <col width="3" customWidth="1" min="8" max="8"/>
  </cols>
  <sheetData>
    <row r="1" ht="8" customHeight="1"/>
    <row r="2" ht="42" customHeight="1">
      <c r="B2" s="82" t="inlineStr">
        <is>
          <t>SAVINGS GOALS TRACKER</t>
        </is>
      </c>
    </row>
    <row r="3" ht="22" customHeight="1">
      <c r="B3" s="44" t="inlineStr">
        <is>
          <t>Track progress toward your financial goals — yellow cells are yours to edit</t>
        </is>
      </c>
    </row>
    <row r="4" ht="22" customHeight="1"/>
    <row r="5" ht="22" customHeight="1">
      <c r="B5" s="83" t="inlineStr">
        <is>
          <t>Goal Name</t>
        </is>
      </c>
      <c r="C5" s="83" t="inlineStr">
        <is>
          <t>Target Amount</t>
        </is>
      </c>
      <c r="D5" s="83" t="inlineStr">
        <is>
          <t>Current Saved</t>
        </is>
      </c>
      <c r="E5" s="83" t="inlineStr">
        <is>
          <t>Remaining</t>
        </is>
      </c>
      <c r="F5" s="83" t="inlineStr">
        <is>
          <t>Progress %</t>
        </is>
      </c>
      <c r="G5" s="83" t="inlineStr">
        <is>
          <t>Visual Progress ████░░░░</t>
        </is>
      </c>
    </row>
    <row r="6" ht="24" customHeight="1">
      <c r="B6" s="84" t="inlineStr">
        <is>
          <t>🚨 Emergency Fund</t>
        </is>
      </c>
      <c r="C6" s="58" t="n">
        <v>10000</v>
      </c>
      <c r="D6" s="26" t="n">
        <v>3200</v>
      </c>
      <c r="E6" s="59">
        <f>C6-D6</f>
        <v/>
      </c>
      <c r="F6" s="85">
        <f>IF(C6=0,0,D6/C6)</f>
        <v/>
      </c>
      <c r="G6" s="86">
        <f>IFERROR(REPT("█",ROUND(F6*20,0))&amp;REPT("░",20-ROUND(F6*20,0)),"░░░░░░░░░░░░░░░░░░░░")</f>
        <v/>
      </c>
    </row>
    <row r="7" ht="24" customHeight="1">
      <c r="B7" s="84" t="inlineStr">
        <is>
          <t>✈️  Vacation Fund</t>
        </is>
      </c>
      <c r="C7" s="58" t="n">
        <v>3000</v>
      </c>
      <c r="D7" s="26" t="n">
        <v>1750</v>
      </c>
      <c r="E7" s="59">
        <f>C7-D7</f>
        <v/>
      </c>
      <c r="F7" s="85">
        <f>IF(C7=0,0,D7/C7)</f>
        <v/>
      </c>
      <c r="G7" s="86">
        <f>IFERROR(REPT("█",ROUND(F7*20,0))&amp;REPT("░",20-ROUND(F7*20,0)),"░░░░░░░░░░░░░░░░░░░░")</f>
        <v/>
      </c>
    </row>
    <row r="8" ht="24" customHeight="1">
      <c r="B8" s="84" t="inlineStr">
        <is>
          <t>🚗 New Car</t>
        </is>
      </c>
      <c r="C8" s="58" t="n">
        <v>15000</v>
      </c>
      <c r="D8" s="26" t="n">
        <v>4500</v>
      </c>
      <c r="E8" s="59">
        <f>C8-D8</f>
        <v/>
      </c>
      <c r="F8" s="85">
        <f>IF(C8=0,0,D8/C8)</f>
        <v/>
      </c>
      <c r="G8" s="86">
        <f>IFERROR(REPT("█",ROUND(F8*20,0))&amp;REPT("░",20-ROUND(F8*20,0)),"░░░░░░░░░░░░░░░░░░░░")</f>
        <v/>
      </c>
    </row>
    <row r="9" ht="24" customHeight="1">
      <c r="B9" s="84" t="inlineStr">
        <is>
          <t>🏠 Home Down Payment</t>
        </is>
      </c>
      <c r="C9" s="58" t="n">
        <v>50000</v>
      </c>
      <c r="D9" s="26" t="n">
        <v>8000</v>
      </c>
      <c r="E9" s="59">
        <f>C9-D9</f>
        <v/>
      </c>
      <c r="F9" s="85">
        <f>IF(C9=0,0,D9/C9)</f>
        <v/>
      </c>
      <c r="G9" s="86">
        <f>IFERROR(REPT("█",ROUND(F9*20,0))&amp;REPT("░",20-ROUND(F9*20,0)),"░░░░░░░░░░░░░░░░░░░░")</f>
        <v/>
      </c>
    </row>
    <row r="10" ht="24" customHeight="1">
      <c r="B10" s="84" t="inlineStr">
        <is>
          <t>💍 Wedding</t>
        </is>
      </c>
      <c r="C10" s="58" t="n">
        <v>20000</v>
      </c>
      <c r="D10" s="26" t="n">
        <v>6500</v>
      </c>
      <c r="E10" s="59">
        <f>C10-D10</f>
        <v/>
      </c>
      <c r="F10" s="85">
        <f>IF(C10=0,0,D10/C10)</f>
        <v/>
      </c>
      <c r="G10" s="86">
        <f>IFERROR(REPT("█",ROUND(F10*20,0))&amp;REPT("░",20-ROUND(F10*20,0)),"░░░░░░░░░░░░░░░░░░░░")</f>
        <v/>
      </c>
    </row>
    <row r="11" ht="24" customHeight="1">
      <c r="B11" s="84" t="inlineStr">
        <is>
          <t>📚 Education Fund</t>
        </is>
      </c>
      <c r="C11" s="58" t="n">
        <v>8000</v>
      </c>
      <c r="D11" s="26" t="n">
        <v>2400</v>
      </c>
      <c r="E11" s="59">
        <f>C11-D11</f>
        <v/>
      </c>
      <c r="F11" s="85">
        <f>IF(C11=0,0,D11/C11)</f>
        <v/>
      </c>
      <c r="G11" s="86">
        <f>IFERROR(REPT("█",ROUND(F11*20,0))&amp;REPT("░",20-ROUND(F11*20,0)),"░░░░░░░░░░░░░░░░░░░░")</f>
        <v/>
      </c>
    </row>
    <row r="12" ht="22" customHeight="1"/>
    <row r="13" ht="22" customHeight="1">
      <c r="B13" s="87" t="inlineStr">
        <is>
          <t>ADD YOUR OWN GOALS BELOW</t>
        </is>
      </c>
    </row>
    <row r="14" ht="24" customHeight="1">
      <c r="B14" s="88" t="inlineStr"/>
      <c r="C14" s="26" t="n"/>
      <c r="D14" s="26" t="n"/>
      <c r="E14" s="59">
        <f>IF(C14=0,"",C14-D14)</f>
        <v/>
      </c>
      <c r="F14" s="89">
        <f>IF(C14=0,"",IF(D14=0,0,D14/C14))</f>
        <v/>
      </c>
      <c r="G14" s="86">
        <f>IF(C14=0,"",IFERROR(REPT("█",ROUND(F14*20,0))&amp;REPT("░",20-ROUND(F14*20,0)),""))</f>
        <v/>
      </c>
    </row>
    <row r="15" ht="24" customHeight="1">
      <c r="B15" s="88" t="inlineStr"/>
      <c r="C15" s="26" t="n"/>
      <c r="D15" s="26" t="n"/>
      <c r="E15" s="59">
        <f>IF(C15=0,"",C15-D15)</f>
        <v/>
      </c>
      <c r="F15" s="89">
        <f>IF(C15=0,"",IF(D15=0,0,D15/C15))</f>
        <v/>
      </c>
      <c r="G15" s="86">
        <f>IF(C15=0,"",IFERROR(REPT("█",ROUND(F15*20,0))&amp;REPT("░",20-ROUND(F15*20,0)),""))</f>
        <v/>
      </c>
    </row>
    <row r="16" ht="24" customHeight="1">
      <c r="B16" s="88" t="inlineStr"/>
      <c r="C16" s="26" t="n"/>
      <c r="D16" s="26" t="n"/>
      <c r="E16" s="59">
        <f>IF(C16=0,"",C16-D16)</f>
        <v/>
      </c>
      <c r="F16" s="89">
        <f>IF(C16=0,"",IF(D16=0,0,D16/C16))</f>
        <v/>
      </c>
      <c r="G16" s="86">
        <f>IF(C16=0,"",IFERROR(REPT("█",ROUND(F16*20,0))&amp;REPT("░",20-ROUND(F16*20,0)),""))</f>
        <v/>
      </c>
    </row>
    <row r="17" ht="24" customHeight="1">
      <c r="B17" s="88" t="inlineStr"/>
      <c r="C17" s="26" t="n"/>
      <c r="D17" s="26" t="n"/>
      <c r="E17" s="59">
        <f>IF(C17=0,"",C17-D17)</f>
        <v/>
      </c>
      <c r="F17" s="89">
        <f>IF(C17=0,"",IF(D17=0,0,D17/C17))</f>
        <v/>
      </c>
      <c r="G17" s="86">
        <f>IF(C17=0,"",IFERROR(REPT("█",ROUND(F17*20,0))&amp;REPT("░",20-ROUND(F17*20,0)),""))</f>
        <v/>
      </c>
    </row>
    <row r="18" ht="24" customHeight="1">
      <c r="B18" s="88" t="inlineStr"/>
      <c r="C18" s="26" t="n"/>
      <c r="D18" s="26" t="n"/>
      <c r="E18" s="59">
        <f>IF(C18=0,"",C18-D18)</f>
        <v/>
      </c>
      <c r="F18" s="89">
        <f>IF(C18=0,"",IF(D18=0,0,D18/C18))</f>
        <v/>
      </c>
      <c r="G18" s="86">
        <f>IF(C18=0,"",IFERROR(REPT("█",ROUND(F18*20,0))&amp;REPT("░",20-ROUND(F18*20,0)),""))</f>
        <v/>
      </c>
    </row>
    <row r="19" ht="24" customHeight="1">
      <c r="B19" s="88" t="inlineStr"/>
      <c r="C19" s="26" t="n"/>
      <c r="D19" s="26" t="n"/>
      <c r="E19" s="59">
        <f>IF(C19=0,"",C19-D19)</f>
        <v/>
      </c>
      <c r="F19" s="89">
        <f>IF(C19=0,"",IF(D19=0,0,D19/C19))</f>
        <v/>
      </c>
      <c r="G19" s="86">
        <f>IF(C19=0,"",IFERROR(REPT("█",ROUND(F19*20,0))&amp;REPT("░",20-ROUND(F19*20,0)),""))</f>
        <v/>
      </c>
    </row>
    <row r="20" ht="24" customHeight="1">
      <c r="B20" s="88" t="inlineStr"/>
      <c r="C20" s="26" t="n"/>
      <c r="D20" s="26" t="n"/>
      <c r="E20" s="59">
        <f>IF(C20=0,"",C20-D20)</f>
        <v/>
      </c>
      <c r="F20" s="89">
        <f>IF(C20=0,"",IF(D20=0,0,D20/C20))</f>
        <v/>
      </c>
      <c r="G20" s="86">
        <f>IF(C20=0,"",IFERROR(REPT("█",ROUND(F20*20,0))&amp;REPT("░",20-ROUND(F20*20,0)),""))</f>
        <v/>
      </c>
    </row>
    <row r="21" ht="24" customHeight="1">
      <c r="B21" s="88" t="inlineStr"/>
      <c r="C21" s="26" t="n"/>
      <c r="D21" s="26" t="n"/>
      <c r="E21" s="59">
        <f>IF(C21=0,"",C21-D21)</f>
        <v/>
      </c>
      <c r="F21" s="89">
        <f>IF(C21=0,"",IF(D21=0,0,D21/C21))</f>
        <v/>
      </c>
      <c r="G21" s="86">
        <f>IF(C21=0,"",IFERROR(REPT("█",ROUND(F21*20,0))&amp;REPT("░",20-ROUND(F21*20,0)),""))</f>
        <v/>
      </c>
    </row>
    <row r="22" ht="22" customHeight="1"/>
    <row r="23" ht="22" customHeight="1">
      <c r="B23" s="23" t="inlineStr">
        <is>
          <t>TOTALS SUMMARY</t>
        </is>
      </c>
    </row>
    <row r="24" ht="24" customHeight="1">
      <c r="B24" s="29" t="inlineStr">
        <is>
          <t>Total Goal Amount</t>
        </is>
      </c>
      <c r="C24" s="90" t="n"/>
      <c r="D24" s="90" t="n"/>
      <c r="E24" s="90" t="n"/>
      <c r="F24" s="90" t="n"/>
      <c r="G24" s="31">
        <f>SUM(C6:C11)</f>
        <v/>
      </c>
    </row>
    <row r="25" ht="24" customHeight="1">
      <c r="B25" s="29" t="inlineStr">
        <is>
          <t>Total Saved</t>
        </is>
      </c>
      <c r="C25" s="90" t="n"/>
      <c r="D25" s="90" t="n"/>
      <c r="E25" s="90" t="n"/>
      <c r="F25" s="90" t="n"/>
      <c r="G25" s="31">
        <f>SUM(D6:D11)</f>
        <v/>
      </c>
    </row>
    <row r="26" ht="24" customHeight="1">
      <c r="B26" s="29" t="inlineStr">
        <is>
          <t>Total Remaining</t>
        </is>
      </c>
      <c r="C26" s="90" t="n"/>
      <c r="D26" s="90" t="n"/>
      <c r="E26" s="90" t="n"/>
      <c r="F26" s="90" t="n"/>
      <c r="G26" s="31">
        <f>SUM(E6:E11)</f>
        <v/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4">
    <mergeCell ref="B3:G3"/>
    <mergeCell ref="B2:G2"/>
    <mergeCell ref="B23:G23"/>
    <mergeCell ref="B13:G13"/>
  </mergeCells>
  <conditionalFormatting sqref="F6:F11">
    <cfRule type="colorScale" priority="1">
      <colorScale>
        <cfvo type="num" val="0"/>
        <cfvo type="num" val="0.5"/>
        <cfvo type="num" val="1"/>
        <color rgb="00E76F51"/>
        <color rgb="00E9C46A"/>
        <color rgb="002A9D8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6F51"/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  <col width="12" customWidth="1" min="9" max="9"/>
    <col width="3" customWidth="1" min="10" max="10"/>
  </cols>
  <sheetData>
    <row r="1" ht="8" customHeight="1"/>
    <row r="2" ht="42" customHeight="1">
      <c r="B2" s="91" t="inlineStr">
        <is>
          <t>DEBT PAYOFF TRACKER</t>
        </is>
      </c>
    </row>
    <row r="3" ht="22" customHeight="1">
      <c r="B3" s="44" t="inlineStr">
        <is>
          <t>Monitor your debt balances and see your payoff timeline at a glance</t>
        </is>
      </c>
    </row>
    <row r="4" ht="22" customHeight="1"/>
    <row r="5" ht="32" customHeight="1">
      <c r="B5" s="92" t="inlineStr">
        <is>
          <t>Debt Name</t>
        </is>
      </c>
      <c r="C5" s="92" t="inlineStr">
        <is>
          <t>Original Balance</t>
        </is>
      </c>
      <c r="D5" s="92" t="inlineStr">
        <is>
          <t>Interest
Rate %</t>
        </is>
      </c>
      <c r="E5" s="92" t="inlineStr">
        <is>
          <t>Min Payment</t>
        </is>
      </c>
      <c r="F5" s="92" t="inlineStr">
        <is>
          <t>Extra Payment</t>
        </is>
      </c>
      <c r="G5" s="92" t="inlineStr">
        <is>
          <t>Current Balance</t>
        </is>
      </c>
      <c r="H5" s="92" t="inlineStr">
        <is>
          <t>Months to
Payoff</t>
        </is>
      </c>
      <c r="I5" s="92" t="inlineStr">
        <is>
          <t>Progress %</t>
        </is>
      </c>
    </row>
    <row r="6" ht="24" customHeight="1">
      <c r="B6" s="84" t="inlineStr">
        <is>
          <t>🎓 Student Loan</t>
        </is>
      </c>
      <c r="C6" s="58" t="n">
        <v>25000</v>
      </c>
      <c r="D6" s="93" t="n">
        <v>0.045</v>
      </c>
      <c r="E6" s="26" t="n">
        <v>285</v>
      </c>
      <c r="F6" s="26" t="n">
        <v>100</v>
      </c>
      <c r="G6" s="26" t="n">
        <v>22500</v>
      </c>
      <c r="H6" s="94">
        <f>IF((E6+F6)=0,"N/A",ROUND(G6/(E6+F6),0))</f>
        <v/>
      </c>
      <c r="I6" s="85">
        <f>IF(C6=0,0,1-(G6/C6))</f>
        <v/>
      </c>
    </row>
    <row r="7" ht="24" customHeight="1">
      <c r="B7" s="84" t="inlineStr">
        <is>
          <t>💳 Credit Card</t>
        </is>
      </c>
      <c r="C7" s="58" t="n">
        <v>3500</v>
      </c>
      <c r="D7" s="93" t="n">
        <v>0.199</v>
      </c>
      <c r="E7" s="26" t="n">
        <v>70</v>
      </c>
      <c r="F7" s="26" t="n">
        <v>150</v>
      </c>
      <c r="G7" s="26" t="n">
        <v>3200</v>
      </c>
      <c r="H7" s="94">
        <f>IF((E7+F7)=0,"N/A",ROUND(G7/(E7+F7),0))</f>
        <v/>
      </c>
      <c r="I7" s="85">
        <f>IF(C7=0,0,1-(G7/C7))</f>
        <v/>
      </c>
    </row>
    <row r="8" ht="24" customHeight="1">
      <c r="B8" s="84" t="inlineStr">
        <is>
          <t>🚗 Car Loan</t>
        </is>
      </c>
      <c r="C8" s="58" t="n">
        <v>18000</v>
      </c>
      <c r="D8" s="93" t="n">
        <v>0.035</v>
      </c>
      <c r="E8" s="26" t="n">
        <v>320</v>
      </c>
      <c r="F8" s="26" t="n">
        <v>50</v>
      </c>
      <c r="G8" s="26" t="n">
        <v>14800</v>
      </c>
      <c r="H8" s="94">
        <f>IF((E8+F8)=0,"N/A",ROUND(G8/(E8+F8),0))</f>
        <v/>
      </c>
      <c r="I8" s="85">
        <f>IF(C8=0,0,1-(G8/C8))</f>
        <v/>
      </c>
    </row>
    <row r="9" ht="24" customHeight="1">
      <c r="B9" s="84" t="inlineStr">
        <is>
          <t>💼 Personal Loan</t>
        </is>
      </c>
      <c r="C9" s="58" t="n">
        <v>8000</v>
      </c>
      <c r="D9" s="93" t="n">
        <v>0.08900000000000001</v>
      </c>
      <c r="E9" s="26" t="n">
        <v>180</v>
      </c>
      <c r="F9" s="26" t="n">
        <v>75</v>
      </c>
      <c r="G9" s="26" t="n">
        <v>6500</v>
      </c>
      <c r="H9" s="94">
        <f>IF((E9+F9)=0,"N/A",ROUND(G9/(E9+F9),0))</f>
        <v/>
      </c>
      <c r="I9" s="85">
        <f>IF(C9=0,0,1-(G9/C9))</f>
        <v/>
      </c>
    </row>
    <row r="10" ht="22" customHeight="1"/>
    <row r="11" ht="28" customHeight="1">
      <c r="B11" s="23" t="inlineStr">
        <is>
          <t>TOTALS</t>
        </is>
      </c>
      <c r="C11" s="95">
        <f>SUM(C6:C9)</f>
        <v/>
      </c>
      <c r="D11" s="96" t="n"/>
      <c r="E11" s="95">
        <f>SUM(E6:E9)</f>
        <v/>
      </c>
      <c r="F11" s="95">
        <f>SUM(F6:F9)</f>
        <v/>
      </c>
      <c r="G11" s="95">
        <f>SUM(G6:G9)</f>
        <v/>
      </c>
      <c r="H11" s="96" t="n"/>
      <c r="I11" s="96" t="n"/>
    </row>
    <row r="12" ht="22" customHeight="1"/>
    <row r="13" ht="22" customHeight="1">
      <c r="B13" s="23" t="inlineStr">
        <is>
          <t>TIPS &amp; STRATEGIES</t>
        </is>
      </c>
    </row>
    <row r="14" ht="36" customHeight="1">
      <c r="B14" s="76" t="inlineStr">
        <is>
          <t>💡 PAYOFF STRATEGY TIP:</t>
        </is>
      </c>
      <c r="C14" s="97" t="inlineStr">
        <is>
          <t>Pay minimums on all debts, then put every extra dollar on the highest-interest debt first (Avalanche Method).</t>
        </is>
      </c>
    </row>
    <row r="15" ht="36" customHeight="1">
      <c r="B15" s="76" t="inlineStr">
        <is>
          <t>📅 MONTHLY REVIEW:</t>
        </is>
      </c>
      <c r="C15" s="97" t="inlineStr">
        <is>
          <t>Update 'Current Balance' each month after payments to track your progress accurately.</t>
        </is>
      </c>
    </row>
    <row r="16" ht="36" customHeight="1">
      <c r="B16" s="76" t="inlineStr">
        <is>
          <t>🎯 EXTRA PAYMENTS:</t>
        </is>
      </c>
      <c r="C16" s="97" t="inlineStr">
        <is>
          <t>Even $50 extra per month can save hundreds in interest and months of payments.</t>
        </is>
      </c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7">
    <mergeCell ref="C14:I14"/>
    <mergeCell ref="B13:I13"/>
    <mergeCell ref="B2:I2"/>
    <mergeCell ref="B11"/>
    <mergeCell ref="B3:I3"/>
    <mergeCell ref="C16:I16"/>
    <mergeCell ref="C15:I15"/>
  </mergeCells>
  <conditionalFormatting sqref="I6:I9">
    <cfRule type="colorScale" priority="1">
      <colorScale>
        <cfvo type="num" val="0"/>
        <cfvo type="num" val="0.5"/>
        <cfvo type="num" val="1"/>
        <color rgb="00E76F51"/>
        <color rgb="00E9C46A"/>
        <color rgb="002A9D8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9C46A"/>
    <outlinePr summaryBelow="1" summaryRight="1"/>
    <pageSetUpPr/>
  </sheetPr>
  <dimension ref="A2:P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</cols>
  <sheetData>
    <row r="1" ht="8" customHeight="1"/>
    <row r="2" ht="42" customHeight="1">
      <c r="A2" s="98" t="inlineStr">
        <is>
          <t>ANNUAL FINANCIAL OVERVIEW — 2026</t>
        </is>
      </c>
    </row>
    <row r="3" ht="22" customHeight="1"/>
    <row r="4" ht="28" customHeight="1">
      <c r="A4" s="99" t="inlineStr"/>
      <c r="B4" s="100" t="inlineStr">
        <is>
          <t>Category</t>
        </is>
      </c>
      <c r="C4" s="100" t="inlineStr">
        <is>
          <t>Jan</t>
        </is>
      </c>
      <c r="D4" s="100" t="inlineStr">
        <is>
          <t>Feb</t>
        </is>
      </c>
      <c r="E4" s="100" t="inlineStr">
        <is>
          <t>Mar</t>
        </is>
      </c>
      <c r="F4" s="100" t="inlineStr">
        <is>
          <t>Apr</t>
        </is>
      </c>
      <c r="G4" s="100" t="inlineStr">
        <is>
          <t>May</t>
        </is>
      </c>
      <c r="H4" s="100" t="inlineStr">
        <is>
          <t>Jun</t>
        </is>
      </c>
      <c r="I4" s="100" t="inlineStr">
        <is>
          <t>Jul</t>
        </is>
      </c>
      <c r="J4" s="100" t="inlineStr">
        <is>
          <t>Aug</t>
        </is>
      </c>
      <c r="K4" s="100" t="inlineStr">
        <is>
          <t>Sep</t>
        </is>
      </c>
      <c r="L4" s="100" t="inlineStr">
        <is>
          <t>Oct</t>
        </is>
      </c>
      <c r="M4" s="100" t="inlineStr">
        <is>
          <t>Nov</t>
        </is>
      </c>
      <c r="N4" s="100" t="inlineStr">
        <is>
          <t>Dec</t>
        </is>
      </c>
      <c r="O4" s="83" t="inlineStr">
        <is>
          <t>Full Year Total</t>
        </is>
      </c>
      <c r="P4" s="24" t="inlineStr">
        <is>
          <t>Monthly Avg</t>
        </is>
      </c>
    </row>
    <row r="5" ht="26" customHeight="1">
      <c r="A5" s="101" t="inlineStr">
        <is>
          <t>▶  INCOME</t>
        </is>
      </c>
    </row>
    <row r="6" ht="22" customHeight="1">
      <c r="A6" s="19" t="inlineStr"/>
      <c r="B6" s="19" t="inlineStr">
        <is>
          <t>Salary</t>
        </is>
      </c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102">
        <f>SUM(C6:N6)</f>
        <v/>
      </c>
      <c r="P6" s="58">
        <f>IF(O6=0,0,O6/12)</f>
        <v/>
      </c>
    </row>
    <row r="7" ht="22" customHeight="1">
      <c r="A7" s="30" t="inlineStr"/>
      <c r="B7" s="30" t="inlineStr">
        <is>
          <t>Side Hustle</t>
        </is>
      </c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102">
        <f>SUM(C7:N7)</f>
        <v/>
      </c>
      <c r="P7" s="58">
        <f>IF(O7=0,0,O7/12)</f>
        <v/>
      </c>
    </row>
    <row r="8" ht="22" customHeight="1">
      <c r="A8" s="19" t="inlineStr"/>
      <c r="B8" s="19" t="inlineStr">
        <is>
          <t>Investments</t>
        </is>
      </c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102">
        <f>SUM(C8:N8)</f>
        <v/>
      </c>
      <c r="P8" s="58">
        <f>IF(O8=0,0,O8/12)</f>
        <v/>
      </c>
    </row>
    <row r="9" ht="22" customHeight="1">
      <c r="A9" s="30" t="inlineStr"/>
      <c r="B9" s="30" t="inlineStr">
        <is>
          <t>Freelance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02">
        <f>SUM(C9:N9)</f>
        <v/>
      </c>
      <c r="P9" s="58">
        <f>IF(O9=0,0,O9/12)</f>
        <v/>
      </c>
    </row>
    <row r="10" ht="22" customHeight="1">
      <c r="A10" s="19" t="inlineStr"/>
      <c r="B10" s="19" t="inlineStr">
        <is>
          <t>Other</t>
        </is>
      </c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102">
        <f>SUM(C10:N10)</f>
        <v/>
      </c>
      <c r="P10" s="58">
        <f>IF(O10=0,0,O10/12)</f>
        <v/>
      </c>
    </row>
    <row r="11" ht="26" customHeight="1">
      <c r="A11" s="103" t="inlineStr"/>
      <c r="B11" s="104" t="inlineStr">
        <is>
          <t>TOTAL INCOME</t>
        </is>
      </c>
      <c r="C11" s="105">
        <f>C6+C7+C8+C9+C10</f>
        <v/>
      </c>
      <c r="D11" s="105">
        <f>D6+D7+D8+D9+D10</f>
        <v/>
      </c>
      <c r="E11" s="105">
        <f>E6+E7+E8+E9+E10</f>
        <v/>
      </c>
      <c r="F11" s="105">
        <f>F6+F7+F8+F9+F10</f>
        <v/>
      </c>
      <c r="G11" s="105">
        <f>G6+G7+G8+G9+G10</f>
        <v/>
      </c>
      <c r="H11" s="105">
        <f>H6+H7+H8+H9+H10</f>
        <v/>
      </c>
      <c r="I11" s="105">
        <f>I6+I7+I8+I9+I10</f>
        <v/>
      </c>
      <c r="J11" s="105">
        <f>J6+J7+J8+J9+J10</f>
        <v/>
      </c>
      <c r="K11" s="105">
        <f>K6+K7+K8+K9+K10</f>
        <v/>
      </c>
      <c r="L11" s="105">
        <f>L6+L7+L8+L9+L10</f>
        <v/>
      </c>
      <c r="M11" s="105">
        <f>M6+M7+M8+M9+M10</f>
        <v/>
      </c>
      <c r="N11" s="105">
        <f>N6+N7+N8+N9+N10</f>
        <v/>
      </c>
      <c r="O11" s="95">
        <f>SUM(C11:N11)</f>
        <v/>
      </c>
      <c r="P11" s="106">
        <f>O11/12</f>
        <v/>
      </c>
    </row>
    <row r="12" ht="22" customHeight="1"/>
    <row r="13" ht="26" customHeight="1">
      <c r="A13" s="107" t="inlineStr">
        <is>
          <t>▶  EXPENSES</t>
        </is>
      </c>
    </row>
    <row r="14" ht="22" customHeight="1">
      <c r="A14" s="19" t="inlineStr"/>
      <c r="B14" s="19" t="inlineStr">
        <is>
          <t>Housing</t>
        </is>
      </c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102">
        <f>SUM(C14:N14)</f>
        <v/>
      </c>
      <c r="P14" s="58">
        <f>IF(O14=0,0,O14/12)</f>
        <v/>
      </c>
    </row>
    <row r="15" ht="22" customHeight="1">
      <c r="A15" s="30" t="inlineStr"/>
      <c r="B15" s="30" t="inlineStr">
        <is>
          <t>Utilities</t>
        </is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102">
        <f>SUM(C15:N15)</f>
        <v/>
      </c>
      <c r="P15" s="58">
        <f>IF(O15=0,0,O15/12)</f>
        <v/>
      </c>
    </row>
    <row r="16" ht="22" customHeight="1">
      <c r="A16" s="19" t="inlineStr"/>
      <c r="B16" s="19" t="inlineStr">
        <is>
          <t>Groceries</t>
        </is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102">
        <f>SUM(C16:N16)</f>
        <v/>
      </c>
      <c r="P16" s="58">
        <f>IF(O16=0,0,O16/12)</f>
        <v/>
      </c>
    </row>
    <row r="17" ht="22" customHeight="1">
      <c r="A17" s="30" t="inlineStr"/>
      <c r="B17" s="30" t="inlineStr">
        <is>
          <t>Transportation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102">
        <f>SUM(C17:N17)</f>
        <v/>
      </c>
      <c r="P17" s="58">
        <f>IF(O17=0,0,O17/12)</f>
        <v/>
      </c>
    </row>
    <row r="18" ht="22" customHeight="1">
      <c r="A18" s="19" t="inlineStr"/>
      <c r="B18" s="19" t="inlineStr">
        <is>
          <t>Insurance</t>
        </is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102">
        <f>SUM(C18:N18)</f>
        <v/>
      </c>
      <c r="P18" s="58">
        <f>IF(O18=0,0,O18/12)</f>
        <v/>
      </c>
    </row>
    <row r="19" ht="22" customHeight="1">
      <c r="A19" s="30" t="inlineStr"/>
      <c r="B19" s="30" t="inlineStr">
        <is>
          <t>Healthcare</t>
        </is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102">
        <f>SUM(C19:N19)</f>
        <v/>
      </c>
      <c r="P19" s="58">
        <f>IF(O19=0,0,O19/12)</f>
        <v/>
      </c>
    </row>
    <row r="20" ht="22" customHeight="1">
      <c r="A20" s="19" t="inlineStr"/>
      <c r="B20" s="19" t="inlineStr">
        <is>
          <t>Dining Out</t>
        </is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102">
        <f>SUM(C20:N20)</f>
        <v/>
      </c>
      <c r="P20" s="58">
        <f>IF(O20=0,0,O20/12)</f>
        <v/>
      </c>
    </row>
    <row r="21" ht="22" customHeight="1">
      <c r="A21" s="30" t="inlineStr"/>
      <c r="B21" s="30" t="inlineStr">
        <is>
          <t>Entertainment</t>
        </is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102">
        <f>SUM(C21:N21)</f>
        <v/>
      </c>
      <c r="P21" s="58">
        <f>IF(O21=0,0,O21/12)</f>
        <v/>
      </c>
    </row>
    <row r="22" ht="22" customHeight="1">
      <c r="A22" s="19" t="inlineStr"/>
      <c r="B22" s="19" t="inlineStr">
        <is>
          <t>Shopping</t>
        </is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102">
        <f>SUM(C22:N22)</f>
        <v/>
      </c>
      <c r="P22" s="58">
        <f>IF(O22=0,0,O22/12)</f>
        <v/>
      </c>
    </row>
    <row r="23" ht="22" customHeight="1">
      <c r="A23" s="30" t="inlineStr"/>
      <c r="B23" s="30" t="inlineStr">
        <is>
          <t>Subscriptions</t>
        </is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102">
        <f>SUM(C23:N23)</f>
        <v/>
      </c>
      <c r="P23" s="58">
        <f>IF(O23=0,0,O23/12)</f>
        <v/>
      </c>
    </row>
    <row r="24" ht="22" customHeight="1">
      <c r="A24" s="19" t="inlineStr"/>
      <c r="B24" s="19" t="inlineStr">
        <is>
          <t>Savings / Emergency</t>
        </is>
      </c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102">
        <f>SUM(C24:N24)</f>
        <v/>
      </c>
      <c r="P24" s="58">
        <f>IF(O24=0,0,O24/12)</f>
        <v/>
      </c>
    </row>
    <row r="25" ht="22" customHeight="1">
      <c r="A25" s="30" t="inlineStr"/>
      <c r="B25" s="30" t="inlineStr">
        <is>
          <t>Debt Payment</t>
        </is>
      </c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102">
        <f>SUM(C25:N25)</f>
        <v/>
      </c>
      <c r="P25" s="58">
        <f>IF(O25=0,0,O25/12)</f>
        <v/>
      </c>
    </row>
    <row r="26" ht="22" customHeight="1">
      <c r="A26" s="19" t="inlineStr"/>
      <c r="B26" s="19" t="inlineStr">
        <is>
          <t>Education</t>
        </is>
      </c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102">
        <f>SUM(C26:N26)</f>
        <v/>
      </c>
      <c r="P26" s="58">
        <f>IF(O26=0,0,O26/12)</f>
        <v/>
      </c>
    </row>
    <row r="27" ht="22" customHeight="1">
      <c r="A27" s="30" t="inlineStr"/>
      <c r="B27" s="30" t="inlineStr">
        <is>
          <t>Other</t>
        </is>
      </c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102">
        <f>SUM(C27:N27)</f>
        <v/>
      </c>
      <c r="P27" s="58">
        <f>IF(O27=0,0,O27/12)</f>
        <v/>
      </c>
    </row>
    <row r="28" ht="26" customHeight="1">
      <c r="A28" s="108" t="inlineStr"/>
      <c r="B28" s="109" t="inlineStr">
        <is>
          <t>TOTAL EXPENSES</t>
        </is>
      </c>
      <c r="C28" s="110">
        <f>C14+C15+C16+C17+C18+C19+C20+C21+C22+C23+C24+C25+C26+C27</f>
        <v/>
      </c>
      <c r="D28" s="110">
        <f>D14+D15+D16+D17+D18+D19+D20+D21+D22+D23+D24+D25+D26+D27</f>
        <v/>
      </c>
      <c r="E28" s="110">
        <f>E14+E15+E16+E17+E18+E19+E20+E21+E22+E23+E24+E25+E26+E27</f>
        <v/>
      </c>
      <c r="F28" s="110">
        <f>F14+F15+F16+F17+F18+F19+F20+F21+F22+F23+F24+F25+F26+F27</f>
        <v/>
      </c>
      <c r="G28" s="110">
        <f>G14+G15+G16+G17+G18+G19+G20+G21+G22+G23+G24+G25+G26+G27</f>
        <v/>
      </c>
      <c r="H28" s="110">
        <f>H14+H15+H16+H17+H18+H19+H20+H21+H22+H23+H24+H25+H26+H27</f>
        <v/>
      </c>
      <c r="I28" s="110">
        <f>I14+I15+I16+I17+I18+I19+I20+I21+I22+I23+I24+I25+I26+I27</f>
        <v/>
      </c>
      <c r="J28" s="110">
        <f>J14+J15+J16+J17+J18+J19+J20+J21+J22+J23+J24+J25+J26+J27</f>
        <v/>
      </c>
      <c r="K28" s="110">
        <f>K14+K15+K16+K17+K18+K19+K20+K21+K22+K23+K24+K25+K26+K27</f>
        <v/>
      </c>
      <c r="L28" s="110">
        <f>L14+L15+L16+L17+L18+L19+L20+L21+L22+L23+L24+L25+L26+L27</f>
        <v/>
      </c>
      <c r="M28" s="110">
        <f>M14+M15+M16+M17+M18+M19+M20+M21+M22+M23+M24+M25+M26+M27</f>
        <v/>
      </c>
      <c r="N28" s="110">
        <f>N14+N15+N16+N17+N18+N19+N20+N21+N22+N23+N24+N25+N26+N27</f>
        <v/>
      </c>
      <c r="O28" s="95">
        <f>SUM(C28:N28)</f>
        <v/>
      </c>
      <c r="P28" s="106">
        <f>O28/12</f>
        <v/>
      </c>
    </row>
    <row r="29" ht="22" customHeight="1"/>
    <row r="30" ht="30" customHeight="1">
      <c r="A30" s="111" t="inlineStr"/>
      <c r="B30" s="112" t="inlineStr">
        <is>
          <t>NET SURPLUS / DEFICIT</t>
        </is>
      </c>
      <c r="C30" s="113">
        <f>C11-C28</f>
        <v/>
      </c>
      <c r="D30" s="113">
        <f>D11-D28</f>
        <v/>
      </c>
      <c r="E30" s="113">
        <f>E11-E28</f>
        <v/>
      </c>
      <c r="F30" s="113">
        <f>F11-F28</f>
        <v/>
      </c>
      <c r="G30" s="113">
        <f>G11-G28</f>
        <v/>
      </c>
      <c r="H30" s="113">
        <f>H11-H28</f>
        <v/>
      </c>
      <c r="I30" s="113">
        <f>I11-I28</f>
        <v/>
      </c>
      <c r="J30" s="113">
        <f>J11-J28</f>
        <v/>
      </c>
      <c r="K30" s="113">
        <f>K11-K28</f>
        <v/>
      </c>
      <c r="L30" s="113">
        <f>L11-L28</f>
        <v/>
      </c>
      <c r="M30" s="113">
        <f>M11-M28</f>
        <v/>
      </c>
      <c r="N30" s="113">
        <f>N11-N28</f>
        <v/>
      </c>
      <c r="O30" s="114">
        <f>O11-O28</f>
        <v/>
      </c>
      <c r="P30" s="106">
        <f>O30/12</f>
        <v/>
      </c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3">
    <mergeCell ref="A5:P5"/>
    <mergeCell ref="A13:P13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A261"/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8" customHeight="1"/>
    <row r="2" ht="44" customHeight="1">
      <c r="B2" s="21" t="inlineStr">
        <is>
          <t>JANUARY 2026 — BILL PAYMENT CALENDAR</t>
        </is>
      </c>
    </row>
    <row r="3" ht="22" customHeight="1">
      <c r="B3" s="44" t="inlineStr">
        <is>
          <t>Red = Bill Due  |  Green = Income Day  |  Gray = Regular Day</t>
        </is>
      </c>
    </row>
    <row r="4" ht="28" customHeight="1">
      <c r="B4" s="24" t="inlineStr">
        <is>
          <t>Monday</t>
        </is>
      </c>
      <c r="C4" s="24" t="inlineStr">
        <is>
          <t>Tuesday</t>
        </is>
      </c>
      <c r="D4" s="24" t="inlineStr">
        <is>
          <t>Wednesday</t>
        </is>
      </c>
      <c r="E4" s="24" t="inlineStr">
        <is>
          <t>Thursday</t>
        </is>
      </c>
      <c r="F4" s="24" t="inlineStr">
        <is>
          <t>Friday</t>
        </is>
      </c>
      <c r="G4" s="115" t="inlineStr">
        <is>
          <t>Saturday</t>
        </is>
      </c>
      <c r="H4" s="115" t="inlineStr">
        <is>
          <t>Sunday</t>
        </is>
      </c>
    </row>
    <row r="5" ht="56" customHeight="1">
      <c r="B5" s="116" t="inlineStr"/>
      <c r="C5" s="116" t="inlineStr"/>
      <c r="D5" s="116" t="inlineStr"/>
      <c r="E5" s="117" t="inlineStr">
        <is>
          <t>1</t>
        </is>
      </c>
      <c r="F5" s="117" t="inlineStr">
        <is>
          <t>2</t>
        </is>
      </c>
      <c r="G5" s="117" t="inlineStr">
        <is>
          <t>3</t>
        </is>
      </c>
      <c r="H5" s="117" t="inlineStr">
        <is>
          <t>4</t>
        </is>
      </c>
    </row>
    <row r="6" ht="56" customHeight="1">
      <c r="B6" s="118" t="inlineStr">
        <is>
          <t>5
📋 Rent
💰 Salary</t>
        </is>
      </c>
      <c r="C6" s="117" t="inlineStr">
        <is>
          <t>6</t>
        </is>
      </c>
      <c r="D6" s="117" t="inlineStr">
        <is>
          <t>7</t>
        </is>
      </c>
      <c r="E6" s="119" t="inlineStr">
        <is>
          <t>8
📋 Electric</t>
        </is>
      </c>
      <c r="F6" s="117" t="inlineStr">
        <is>
          <t>9</t>
        </is>
      </c>
      <c r="G6" s="117" t="inlineStr">
        <is>
          <t>10</t>
        </is>
      </c>
      <c r="H6" s="117" t="inlineStr">
        <is>
          <t>11</t>
        </is>
      </c>
    </row>
    <row r="7" ht="56" customHeight="1">
      <c r="B7" s="117" t="inlineStr">
        <is>
          <t>12</t>
        </is>
      </c>
      <c r="C7" s="117" t="inlineStr">
        <is>
          <t>13</t>
        </is>
      </c>
      <c r="D7" s="117" t="inlineStr">
        <is>
          <t>14</t>
        </is>
      </c>
      <c r="E7" s="120" t="inlineStr">
        <is>
          <t>15
💰 Freelance</t>
        </is>
      </c>
      <c r="F7" s="119" t="inlineStr">
        <is>
          <t>16
📋 Netflix</t>
        </is>
      </c>
      <c r="G7" s="117" t="inlineStr">
        <is>
          <t>17</t>
        </is>
      </c>
      <c r="H7" s="117" t="inlineStr">
        <is>
          <t>18</t>
        </is>
      </c>
    </row>
    <row r="8" ht="56" customHeight="1">
      <c r="B8" s="117" t="inlineStr">
        <is>
          <t>19</t>
        </is>
      </c>
      <c r="C8" s="119" t="inlineStr">
        <is>
          <t>20
📋 Savings Xfer</t>
        </is>
      </c>
      <c r="D8" s="117" t="inlineStr">
        <is>
          <t>21</t>
        </is>
      </c>
      <c r="E8" s="117" t="inlineStr">
        <is>
          <t>22</t>
        </is>
      </c>
      <c r="F8" s="117" t="inlineStr">
        <is>
          <t>23</t>
        </is>
      </c>
      <c r="G8" s="117" t="inlineStr">
        <is>
          <t>24</t>
        </is>
      </c>
      <c r="H8" s="117" t="inlineStr">
        <is>
          <t>25</t>
        </is>
      </c>
    </row>
    <row r="9" ht="56" customHeight="1">
      <c r="B9" s="117" t="inlineStr">
        <is>
          <t>26</t>
        </is>
      </c>
      <c r="C9" s="117" t="inlineStr">
        <is>
          <t>27</t>
        </is>
      </c>
      <c r="D9" s="117" t="inlineStr">
        <is>
          <t>28</t>
        </is>
      </c>
      <c r="E9" s="117" t="inlineStr">
        <is>
          <t>29</t>
        </is>
      </c>
      <c r="F9" s="119" t="inlineStr">
        <is>
          <t>30
📋 Student Loan</t>
        </is>
      </c>
      <c r="G9" s="117" t="inlineStr">
        <is>
          <t>31</t>
        </is>
      </c>
      <c r="H9" s="116" t="inlineStr"/>
    </row>
    <row r="10" ht="56" customHeight="1"/>
    <row r="11" ht="28" customHeight="1">
      <c r="B11" s="10" t="inlineStr">
        <is>
          <t>JANUARY 2026 — UPCOMING BILLS &amp; PAYMENTS</t>
        </is>
      </c>
    </row>
    <row r="12" ht="22" customHeight="1">
      <c r="B12" s="83" t="inlineStr">
        <is>
          <t>Date</t>
        </is>
      </c>
      <c r="C12" s="83" t="inlineStr">
        <is>
          <t>Bill / Item</t>
        </is>
      </c>
      <c r="D12" s="14" t="n"/>
      <c r="E12" s="83" t="inlineStr">
        <is>
          <t>Amount</t>
        </is>
      </c>
      <c r="F12" s="14" t="n"/>
      <c r="G12" s="83" t="inlineStr">
        <is>
          <t>Auto-Pay?</t>
        </is>
      </c>
      <c r="H12" s="83" t="inlineStr">
        <is>
          <t>Status</t>
        </is>
      </c>
    </row>
    <row r="13" ht="24" customHeight="1">
      <c r="B13" s="46" t="inlineStr">
        <is>
          <t>Jan 5</t>
        </is>
      </c>
      <c r="C13" s="121" t="inlineStr">
        <is>
          <t>🏠 Rent</t>
        </is>
      </c>
      <c r="E13" s="122" t="n">
        <v>2000</v>
      </c>
      <c r="F13" s="14" t="n"/>
      <c r="G13" s="46" t="inlineStr">
        <is>
          <t>Yes</t>
        </is>
      </c>
      <c r="H13" s="47" t="inlineStr">
        <is>
          <t>Paid</t>
        </is>
      </c>
    </row>
    <row r="14" ht="24" customHeight="1">
      <c r="B14" s="46" t="inlineStr">
        <is>
          <t>Jan 8</t>
        </is>
      </c>
      <c r="C14" s="121" t="inlineStr">
        <is>
          <t>⚡ Electric Bill</t>
        </is>
      </c>
      <c r="E14" s="122" t="n">
        <v>94.2</v>
      </c>
      <c r="F14" s="14" t="n"/>
      <c r="G14" s="46" t="inlineStr">
        <is>
          <t>Yes</t>
        </is>
      </c>
      <c r="H14" s="47" t="inlineStr">
        <is>
          <t>Paid</t>
        </is>
      </c>
    </row>
    <row r="15" ht="24" customHeight="1">
      <c r="B15" s="46" t="inlineStr">
        <is>
          <t>Jan 15</t>
        </is>
      </c>
      <c r="C15" s="121" t="inlineStr">
        <is>
          <t>💰 Freelance Income</t>
        </is>
      </c>
      <c r="E15" s="122" t="n">
        <v>350</v>
      </c>
      <c r="F15" s="14" t="n"/>
      <c r="G15" s="46" t="inlineStr">
        <is>
          <t>—</t>
        </is>
      </c>
      <c r="H15" s="47" t="inlineStr">
        <is>
          <t>Received</t>
        </is>
      </c>
    </row>
    <row r="16" ht="24" customHeight="1">
      <c r="B16" s="56" t="inlineStr">
        <is>
          <t>Jan 16</t>
        </is>
      </c>
      <c r="C16" s="29" t="inlineStr">
        <is>
          <t>📺 Netflix + Spotify</t>
        </is>
      </c>
      <c r="E16" s="102" t="n">
        <v>26.98</v>
      </c>
      <c r="F16" s="14" t="n"/>
      <c r="G16" s="56" t="inlineStr">
        <is>
          <t>Yes</t>
        </is>
      </c>
      <c r="H16" s="123" t="inlineStr">
        <is>
          <t>Upcoming</t>
        </is>
      </c>
    </row>
    <row r="17" ht="24" customHeight="1">
      <c r="B17" s="56" t="inlineStr">
        <is>
          <t>Jan 20</t>
        </is>
      </c>
      <c r="C17" s="29" t="inlineStr">
        <is>
          <t>🏦 Savings Transfer</t>
        </is>
      </c>
      <c r="E17" s="102" t="n">
        <v>300</v>
      </c>
      <c r="F17" s="14" t="n"/>
      <c r="G17" s="56" t="inlineStr">
        <is>
          <t>Yes</t>
        </is>
      </c>
      <c r="H17" s="123" t="inlineStr">
        <is>
          <t>Upcoming</t>
        </is>
      </c>
    </row>
    <row r="18" ht="24" customHeight="1">
      <c r="B18" s="56" t="inlineStr">
        <is>
          <t>Jan 30</t>
        </is>
      </c>
      <c r="C18" s="29" t="inlineStr">
        <is>
          <t>🎓 Student Loan</t>
        </is>
      </c>
      <c r="E18" s="102" t="n">
        <v>350</v>
      </c>
      <c r="F18" s="14" t="n"/>
      <c r="G18" s="56" t="inlineStr">
        <is>
          <t>Yes</t>
        </is>
      </c>
      <c r="H18" s="123" t="inlineStr">
        <is>
          <t>Upcoming</t>
        </is>
      </c>
    </row>
    <row r="19" ht="22" customHeight="1"/>
    <row r="20" ht="22" customHeight="1">
      <c r="B20" s="36" t="inlineStr">
        <is>
          <t>LEGEND</t>
        </is>
      </c>
    </row>
    <row r="21" ht="24" customHeight="1">
      <c r="B21" s="124" t="inlineStr">
        <is>
          <t>📋 Red Background = Bill Due Date</t>
        </is>
      </c>
    </row>
    <row r="22" ht="24" customHeight="1">
      <c r="B22" s="125" t="inlineStr">
        <is>
          <t>💰 Green Background = Income / Payday</t>
        </is>
      </c>
    </row>
    <row r="23" ht="24" customHeight="1">
      <c r="B23" s="126" t="inlineStr">
        <is>
          <t>⬜ Gray Background = Regular Day</t>
        </is>
      </c>
    </row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21">
    <mergeCell ref="E12:F12"/>
    <mergeCell ref="C15:D15"/>
    <mergeCell ref="C14:D14"/>
    <mergeCell ref="E14:F14"/>
    <mergeCell ref="E17:F17"/>
    <mergeCell ref="B20:H20"/>
    <mergeCell ref="C16:D16"/>
    <mergeCell ref="E13:F13"/>
    <mergeCell ref="B3:H3"/>
    <mergeCell ref="B22:H22"/>
    <mergeCell ref="C12:D12"/>
    <mergeCell ref="E15:F15"/>
    <mergeCell ref="B21:H21"/>
    <mergeCell ref="B2:H2"/>
    <mergeCell ref="B11:H11"/>
    <mergeCell ref="C17:D17"/>
    <mergeCell ref="B23:H23"/>
    <mergeCell ref="E16:F16"/>
    <mergeCell ref="C13:D13"/>
    <mergeCell ref="C18:D18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2026-05-09T16:42:49Z</dcterms:created>
  <dcterms:modified xsi:type="dcterms:W3CDTF">2026-05-09T16:42:49Z</dcterms:modified>
</cp:coreProperties>
</file>